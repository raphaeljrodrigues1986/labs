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pa" sheetId="1" state="visible" r:id="rId3"/>
    <sheet name="Laboratorios" sheetId="2" state="visible" r:id="rId4"/>
    <sheet name="Patentes_por_Area" sheetId="3" state="visible" r:id="rId5"/>
    <sheet name="Watchlist_DeepTech" sheetId="4" state="visible" r:id="rId6"/>
    <sheet name="Foco_Geologia_Materiais_Tec" sheetId="5" state="visible" r:id="rId7"/>
    <sheet name="Formulario_Pesquisadores" sheetId="6" state="visible" r:id="rId8"/>
    <sheet name="Metodologia"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<sst xmlns="http://schemas.openxmlformats.org/spreadsheetml/2006/main" count="706" uniqueCount="359">
  <si>
    <t xml:space="preserve">FUNPEC — Laboratórios, Patentes e Potencial Deep Tech na UFRN</t>
  </si>
  <si>
    <t xml:space="preserve">Atualização crítica do levantamento 2024 (respostas ao formulário de mapeamento + prospecção de patentes UFRN)</t>
  </si>
  <si>
    <t xml:space="preserve">Como usar este arquivo</t>
  </si>
  <si>
    <t xml:space="preserve">1) Aba 'Laboratorios': base consolidada dos ~28 laboratórios/grupos de pesquisa da UFRN (respondentes do mapeamento de laboratórios 2024 + 4 achados via busca), com coluna de Potencial Deep Tech (ALTO / MÉDIO / BAIXO) e justificativa crítica, além do status de atualização em 2026 (confirmado via busca na web ou pendente de validação).
2) Aba 'Patentes_por_Area': resumo das 340 patentes mapeadas (base AGIR/UFRN, 03/09/2024) por área, com gráfico.
3) Aba 'Watchlist_DeepTech': filtro apenas dos laboratórios ALTO/MÉDIO potencial, priorizados para follow-up.
4) Aba 'Foco_Geologia_Materiais_Tec': recorte pedido pela FUNPEC — só laboratórios de Geologia, Materiais, Tecnologia e Energia, ordenados por potencial deep tech.
5) Aba 'Formulario_Pesquisadores': roteiro de perguntas para reenviar aos coordenadores (pronto para colar em Google Forms/Microsoft Forms) — objetivo é atualizar status de pesquisa, IP e tração de mercado.
6) Aba 'Metodologia': como a classificação de potencial foi feita e suas limitações.</t>
  </si>
  <si>
    <t xml:space="preserve">Fontes originais</t>
  </si>
  <si>
    <t xml:space="preserve">Respostas ao formulário de mapeamento de laboratórios da UFRN (mar-mai/2024) · Lista de Prospecção (patentes UFRN por área) · Planilha 'UFRN patentes' (contagem por área, base 03/09/2024, https://agir.ufrn.br/vitrine/patentes)</t>
  </si>
  <si>
    <t xml:space="preserve">Nome do Laboratório</t>
  </si>
  <si>
    <t xml:space="preserve">Coordenador(a)</t>
  </si>
  <si>
    <t xml:space="preserve">Domínio</t>
  </si>
  <si>
    <t xml:space="preserve">Área de atuação</t>
  </si>
  <si>
    <t xml:space="preserve">Cidade</t>
  </si>
  <si>
    <t xml:space="preserve">Vínculo institucional</t>
  </si>
  <si>
    <t xml:space="preserve">Infraestrutura (resumo 2024)</t>
  </si>
  <si>
    <t xml:space="preserve">Diferenciais / IP declarada</t>
  </si>
  <si>
    <t xml:space="preserve">Certificação/Credenciamento</t>
  </si>
  <si>
    <t xml:space="preserve">Comercializa?</t>
  </si>
  <si>
    <t xml:space="preserve">Potencial Deep Tech</t>
  </si>
  <si>
    <t xml:space="preserve">Justificativa da avaliação (2026)</t>
  </si>
  <si>
    <t xml:space="preserve">Status de atualização</t>
  </si>
  <si>
    <t xml:space="preserve">Fonte da atualização</t>
  </si>
  <si>
    <t xml:space="preserve">InovAI Lab (agora integrado ao LANCE)</t>
  </si>
  <si>
    <t xml:space="preserve">Marcelo A. C. Fernandes</t>
  </si>
  <si>
    <t xml:space="preserve">Tecnologia (IA)</t>
  </si>
  <si>
    <t xml:space="preserve">Inteligência Artificial aplicada (saúde, genômica, telecom, robótica)</t>
  </si>
  <si>
    <t xml:space="preserve">Natal</t>
  </si>
  <si>
    <t xml:space="preserve">UFRN - IMD/nPITI</t>
  </si>
  <si>
    <t xml:space="preserve">Servidores de alto desempenho, clusters em nuvem, workstations, LANCE (320 m², investimento ~R$18 mi via Lei da Informática)</t>
  </si>
  <si>
    <t xml:space="preserve">Grupos de pesquisa consolidados: AiGenomics, AiPreterm (predição de parto prematuro), RESRC; parceria com Lenovo Brasil</t>
  </si>
  <si>
    <t xml:space="preserve">FINEP</t>
  </si>
  <si>
    <t xml:space="preserve">Não (ainda)</t>
  </si>
  <si>
    <t xml:space="preserve">ALTO</t>
  </si>
  <si>
    <t xml:space="preserve">Confirmado ativo em 2025-26; passou a integrar o novo centro LANCE (IA, imersividade, telecom); linhas AiGenomics/AiPreterm com aplicação clínica direta; forte histórico de publicação e parcerias internacionais do coordenador (Harvard, King's College).</t>
  </si>
  <si>
    <t xml:space="preserve">Ativo e expandido (LANCE)</t>
  </si>
  <si>
    <t xml:space="preserve">lance.ufrn.br/laboratorios; Tribuna do Norte 2024</t>
  </si>
  <si>
    <t xml:space="preserve">Laboratório de Eletroquímica Ambiental e Aplicada (LEAA)</t>
  </si>
  <si>
    <t xml:space="preserve">Carlos Alberto Martinez-Huitle</t>
  </si>
  <si>
    <t xml:space="preserve">Materiais/Energia</t>
  </si>
  <si>
    <t xml:space="preserve">Hidrogênio verde, eletroquímica ambiental, valorização de resíduos</t>
  </si>
  <si>
    <t xml:space="preserve">UFRN - NUPPRAR/NUP-ER</t>
  </si>
  <si>
    <t xml:space="preserve">Reatores eletroquímicos, eletrolisadores, laboratório multiusuário</t>
  </si>
  <si>
    <t xml:space="preserve">Patente de sistema de geração de hipoclorito de sódio combinado à produção de H2 verde; sedia eventos internacionais (39º ISE Topical Meeting, Natal/2025)</t>
  </si>
  <si>
    <t xml:space="preserve">UFRN, NUPPRAR</t>
  </si>
  <si>
    <t xml:space="preserve">Sim (multiusuário)</t>
  </si>
  <si>
    <t xml:space="preserve">Único laboratório do mapeamento com patente ativa e recente diretamente ligada a uma rota energética estratégica (H2 verde); coordenador é Fellow da Royal Society of Chemistry e organizou o principal evento internacional de eletroquímica no RN em 2025 — forte sinal de tração científica e potencial de escala industrial (indústria salineira do RN).</t>
  </si>
  <si>
    <t xml:space="preserve">Ativo, em expansão internacional</t>
  </si>
  <si>
    <t xml:space="preserve">leaa.ccet.ufrn.br; ResearchGate; SIGAA UFRN</t>
  </si>
  <si>
    <t xml:space="preserve">Laboratório de Neurodinâmica (Instituto do Cérebro)</t>
  </si>
  <si>
    <t xml:space="preserve">Richardson Naves Leão</t>
  </si>
  <si>
    <t xml:space="preserve">Saúde/Tecnologia</t>
  </si>
  <si>
    <t xml:space="preserve">Neurociência aplicada / neurotecnologia</t>
  </si>
  <si>
    <t xml:space="preserve">UFRN - Instituto do Cérebro</t>
  </si>
  <si>
    <t xml:space="preserve">Sistemas de EEG/ECG, polissonografia tipo I e IV, biossinais</t>
  </si>
  <si>
    <t xml:space="preserve">Spin-off NeuroMate (monitoramento neurológico neonatal de baixo custo) — 1º lugar em desafio nacional de inovação (2025); robô de neurocirurgia estereotáxica com pedido de patente depositado (dez/2024)</t>
  </si>
  <si>
    <t xml:space="preserve">Não informado (2024)</t>
  </si>
  <si>
    <t xml:space="preserve">Não (em 2024)</t>
  </si>
  <si>
    <t xml:space="preserve">Evolução clara de pesquisa básica para produto: pedido de patente de hardware (robô estereotáxico) + startup NeuroMate premiada em 2025 + parceria clínica com a Maternidade Escola Januário Cicco. É o caso mais nítido de trajetória 'lab -&gt; deep tech -&gt; startup' do conjunto.</t>
  </si>
  <si>
    <t xml:space="preserve">Ativo, com spin-off em validação clínica</t>
  </si>
  <si>
    <t xml:space="preserve">Tribuna do Norte 02/2025; The Conversation; Agora RN 10/2025</t>
  </si>
  <si>
    <t xml:space="preserve">Laboratório de Biologia Molecular e Genômica (LBMG)</t>
  </si>
  <si>
    <t xml:space="preserve">Lucymara Fassarella Agnez-Lima</t>
  </si>
  <si>
    <t xml:space="preserve">Saúde/Biotecnologia</t>
  </si>
  <si>
    <t xml:space="preserve">Genética, Genômica, Bioinformática, Microbiologia</t>
  </si>
  <si>
    <t xml:space="preserve">UFRN - Depto. Biologia Celular e Genética/CB</t>
  </si>
  <si>
    <t xml:space="preserve">Sequenciamento de DNA/RNA, análise de expressão gênica</t>
  </si>
  <si>
    <t xml:space="preserve">Coordenadora é bolsista de produtividade 1A do CNPq; programas RENORBIO (conceito 6) e Bioinformática; presta serviço via FUNPEC; co-fundou a spin-off MicroCiclo Biotecnologia (biorremediação de resíduos oleosos)</t>
  </si>
  <si>
    <t xml:space="preserve">Cadastrado na PNIPE</t>
  </si>
  <si>
    <t xml:space="preserve">Sim (serviço via FUNPEC) + spin-off própria</t>
  </si>
  <si>
    <t xml:space="preserve">ATUALIZAÇÃO: a coordenadora Lucymara Agnez-Lima é uma das 5 fundadoras da MicroCiclo Biotecnologia (ago/2019), primeira empresa de biorremediação do Nordeste, que trata resíduos oleosos industriais com bactérias selecionadas a partir de 15 anos de pesquisa do LBMG. A empresa já foi aprovada em subvenção econômica MCTI/FINEP, está entre as 3 primeiras do Programa Mulheres Inovadoras (Nordeste) e passou por aceleração corporativa (ShiftT/Tupy). É um exemplo raro e completo de trajetória pesquisa → propriedade intelectual → empresa em operação, o que eleva o potencial de MÉDIO para ALTO.</t>
  </si>
  <si>
    <t xml:space="preserve">Confirmado ativo — spin-off MicroCiclo em operação comercial desde 2019</t>
  </si>
  <si>
    <t xml:space="preserve">lbmg.cb.ufrn.br/startup; Programa Centelha RN; ASN Sebrae RN; LinkedIn MicroCiclo (2025-26)</t>
  </si>
  <si>
    <t xml:space="preserve">Grupo de Nanoestruturas Magnéticas e Semicondutoras (GNMS)</t>
  </si>
  <si>
    <t xml:space="preserve">Marcio Assolin Correa</t>
  </si>
  <si>
    <t xml:space="preserve">Materiais</t>
  </si>
  <si>
    <t xml:space="preserve">Materiais nanoestruturados, caracterização magnética/elétrica</t>
  </si>
  <si>
    <t xml:space="preserve">UFRN - Depto. de Física</t>
  </si>
  <si>
    <t xml:space="preserve">Magnetômetro de amostra vibrante, sistemas de curvas IxV, RPE</t>
  </si>
  <si>
    <t xml:space="preserve">Infraestrutura multiusuária UFRN; deposição de nanocamadas para dureza/antimicrobiano</t>
  </si>
  <si>
    <t xml:space="preserve">Sistema multiusuário UFRN</t>
  </si>
  <si>
    <t xml:space="preserve">Não</t>
  </si>
  <si>
    <t xml:space="preserve">MEDIO</t>
  </si>
  <si>
    <t xml:space="preserve">Forte infraestrutura de caracterização compartilhada com o grupo de Propriedades Físicas dos Minerais, que concentra várias patentes de materiais magnéticos/nanoestruturados (ex.: nanoestruturas de NdxCoy, hexaferritas). Potencial deep tech real em materiais avançados, mas depende de rota de transferência tecnológica ainda não formalizada em 2024.</t>
  </si>
  <si>
    <t xml:space="preserve">A validar via formulário</t>
  </si>
  <si>
    <t xml:space="preserve">Resposta ao mapeamento de laboratórios 2024</t>
  </si>
  <si>
    <t xml:space="preserve">Propriedades Físicas dos Minerais</t>
  </si>
  <si>
    <t xml:space="preserve">José Humberto de Araújo</t>
  </si>
  <si>
    <t xml:space="preserve">Geologia/Materiais</t>
  </si>
  <si>
    <t xml:space="preserve">Materiais magnéticos/nanoestruturados a partir de minerais</t>
  </si>
  <si>
    <t xml:space="preserve">Difratômetro de raios-X, magnetômetro de amostra vibrante, moinhos, fornos</t>
  </si>
  <si>
    <t xml:space="preserve">6 pedidos de patente listados na própria resposta (2004-2019): carbeto de molibdênio nanoestruturado, nanoestruturas magnéticas de NdCo, dupla-perovskita, sistemas de vetorização magnética de radiofármacos e antimicrobianos</t>
  </si>
  <si>
    <t xml:space="preserve">UFRN</t>
  </si>
  <si>
    <t xml:space="preserve">É o laboratório do mapeamento com histórico documentado mais robusto de depósito de patentes (6 pedidos citados na própria resposta, entre eles vetorização magnética de fármacos para dor óssea e antimicrobianos). Base técnica clara para deep tech em nanomateriais/saúde, mas patentes mais antigas (2004-2019) — recomenda-se checar status atual no INPI/AGIR.</t>
  </si>
  <si>
    <t xml:space="preserve">Coordenador se aposentou como Titular em jul/2023, mas segue ativo em pesquisa e publicação (ex.: Ceramics International, nov/2025, sobre nanocompósitos NiFe2O4/NiFe2) — checar quem assumiu a coordenação do laboratório</t>
  </si>
  <si>
    <t xml:space="preserve">Escavador/SIGAA 2025; ScienceDirect (perfil do autor, publicações até nov/2025)</t>
  </si>
  <si>
    <t xml:space="preserve">Laboratório de Química Farmacêutica Computacional</t>
  </si>
  <si>
    <t xml:space="preserve">Euzébio Guimarães Barbosa</t>
  </si>
  <si>
    <t xml:space="preserve">Saúde</t>
  </si>
  <si>
    <t xml:space="preserve">Descoberta de fármacos (in silico)</t>
  </si>
  <si>
    <t xml:space="preserve">UFRN - Depto. de Farmácia/CCS</t>
  </si>
  <si>
    <t xml:space="preserve">Workstations de alto processamento (super processador)</t>
  </si>
  <si>
    <t xml:space="preserve">Triagem virtual, target fishing e previsão de toxicologia; foco em produtos naturais da Caatinga</t>
  </si>
  <si>
    <t xml:space="preserve">Metodologia de triagem virtual é ativo típico de deep tech farmacêutica (redução de custo/tempo de descoberta), mas o laboratório reporta baixo custo de execução como diferencial, sem menção a pipeline próprio de moléculas patenteadas — recomenda-se levantar via formulário quais alvos/moléculas já avançaram.</t>
  </si>
  <si>
    <t xml:space="preserve">Laboratório de Automação em Petróleo (LAUT)</t>
  </si>
  <si>
    <t xml:space="preserve">André Laurindo Maitelli</t>
  </si>
  <si>
    <t xml:space="preserve">Tecnologia/Energia</t>
  </si>
  <si>
    <t xml:space="preserve">Automação industrial aplicada a energia/petróleo</t>
  </si>
  <si>
    <t xml:space="preserve">UFRN - CT/DCA</t>
  </si>
  <si>
    <t xml:space="preserve">620 m², plantas didáticas industriais, sistemas supervisórios</t>
  </si>
  <si>
    <t xml:space="preserve">Softwares próprios (sintonizador de controladores, controle avançado, simuladores de métodos de elevação artificial); acesso via FUNPEC; certificação ANP/CATI</t>
  </si>
  <si>
    <t xml:space="preserve">ANP, CATI</t>
  </si>
  <si>
    <t xml:space="preserve">Sim (via FUNPEC)</t>
  </si>
  <si>
    <t xml:space="preserve">Modelo de negócio já validado (prestação de serviço via FUNPEC, certificação ANP) e software proprietário — bom candidato a deep tech industrial B2B, sobretudo para automação de poços; falta evidência de patenteamento formal do software.</t>
  </si>
  <si>
    <t xml:space="preserve">Laboratório de Proteção e Qualidade de Energia (LPQE)</t>
  </si>
  <si>
    <t xml:space="preserve">Marcos Antonio Dias de Almeida</t>
  </si>
  <si>
    <t xml:space="preserve">Proteção e automação de sistemas elétricos de potência</t>
  </si>
  <si>
    <t xml:space="preserve">UFRN - DEE/CT</t>
  </si>
  <si>
    <t xml:space="preserve">Simulador Digital em Tempo Real (RTDS), caixa de teste de relés</t>
  </si>
  <si>
    <t xml:space="preserve">Laboratório novo (concluído em 2024); cadastrado no SIGAA e na PNIPE</t>
  </si>
  <si>
    <t xml:space="preserve">PNIPE</t>
  </si>
  <si>
    <t xml:space="preserve">Ainda não (convênios em avaliação via FUNPEC)</t>
  </si>
  <si>
    <t xml:space="preserve">Infraestrutura de simulação em tempo real (RTDS) é ativo de ponta para o setor elétrico (geração distribuída, proteção de subestações) — potencial deep tech relevante para a transição energética do RN, mas laboratório muito recente, sem histórico de tração.</t>
  </si>
  <si>
    <t xml:space="preserve">Laboratório de Anfíbios e Répteis</t>
  </si>
  <si>
    <t xml:space="preserve">Adrian Antonio Garda</t>
  </si>
  <si>
    <t xml:space="preserve">Biodiversidade</t>
  </si>
  <si>
    <t xml:space="preserve">Fauna, impacto ambiental, biodiversidade</t>
  </si>
  <si>
    <t xml:space="preserve">Laboratório de extração/amplificação de DNA, equipamentos de campo</t>
  </si>
  <si>
    <t xml:space="preserve">Coordenador bolsista de produtividade 1B do CNPq; 25+ anos de experiência</t>
  </si>
  <si>
    <t xml:space="preserve">ICMBio, CEUA</t>
  </si>
  <si>
    <t xml:space="preserve">Sim (relatórios técnicos)</t>
  </si>
  <si>
    <t xml:space="preserve">BAIXO</t>
  </si>
  <si>
    <t xml:space="preserve">Excelência científica em biodiversidade e prestação de serviços de EIA-RIMA consolidada, mas modelo é de consultoria ambiental, não de tecnologia proprietária escalável.</t>
  </si>
  <si>
    <t xml:space="preserve">Laboratório de análise de sementes (EAJ)</t>
  </si>
  <si>
    <t xml:space="preserve">Marcio Dias Pereira</t>
  </si>
  <si>
    <t xml:space="preserve">Agtech</t>
  </si>
  <si>
    <t xml:space="preserve">Tecnologia de sementes, análise digital de imagens</t>
  </si>
  <si>
    <t xml:space="preserve">Macaíba</t>
  </si>
  <si>
    <t xml:space="preserve">UFRN - Escola Agrícola de Jundiaí</t>
  </si>
  <si>
    <t xml:space="preserve">Equipamentos padronizados MAPA para análise de sementes</t>
  </si>
  <si>
    <t xml:space="preserve">Um dos poucos laboratórios do Brasil a desenvolver softwares próprios de análise de imagem de sementes, com produtos registrados no INPI</t>
  </si>
  <si>
    <t xml:space="preserve">MAPA</t>
  </si>
  <si>
    <t xml:space="preserve">Ainda não formalizado</t>
  </si>
  <si>
    <t xml:space="preserve">Combinação rara de agronomia + visão computacional com produtos já registrados no INPI (segundo a própria resposta) — perfil clássico de agtech/deep tech; recomenda-se checar no formulário o status atual dos registros e se houve avanço para comercialização.</t>
  </si>
  <si>
    <t xml:space="preserve">A validar (checar registros INPI citados)</t>
  </si>
  <si>
    <t xml:space="preserve">Grupo de Pesquisa em Quimiometria e Química Biológica</t>
  </si>
  <si>
    <t xml:space="preserve">Kássio Michell Gomes de Lima</t>
  </si>
  <si>
    <t xml:space="preserve">Saúde/Tecnologia analítica</t>
  </si>
  <si>
    <t xml:space="preserve">Metodologias analíticas não-destrutivas, rastreamento de doenças</t>
  </si>
  <si>
    <t xml:space="preserve">UFRN - Instituto de Química</t>
  </si>
  <si>
    <t xml:space="preserve">Espectrômetros IV-próximo, UV-VIS, computadores para modelos multivariados</t>
  </si>
  <si>
    <t xml:space="preserve">Modelos multivariados para diagnóstico rápido e não-destrutivo</t>
  </si>
  <si>
    <t xml:space="preserve">Diagnóstico rápido não-destrutivo via quimiometria é tecnologia com forte apelo comercial em saúde e alimentos; falta evidência de patente ou spin-off no mapeamento de 2024 — bom alvo para o formulário de acompanhamento.</t>
  </si>
  <si>
    <t xml:space="preserve">Grupo de Moscas-das-Frutas (LABMOSCA)</t>
  </si>
  <si>
    <t xml:space="preserve">João Maria Gomes Alencar de Souza</t>
  </si>
  <si>
    <t xml:space="preserve">Agro</t>
  </si>
  <si>
    <t xml:space="preserve">Biologia populacional de pragas agrícolas</t>
  </si>
  <si>
    <t xml:space="preserve">UFRN - Depto. Biologia Celular e Genética</t>
  </si>
  <si>
    <t xml:space="preserve">Espaço de criação/monitoramento populacional</t>
  </si>
  <si>
    <t xml:space="preserve">Monitoramento populacional para pequenos produtores de frutas</t>
  </si>
  <si>
    <t xml:space="preserve">Serviço técnico relevante para fruticultura regional, mas sem diferenciação tecnológica proprietária declarada.</t>
  </si>
  <si>
    <t xml:space="preserve">Laboratório de Bioprocessos</t>
  </si>
  <si>
    <t xml:space="preserve">Marcia Regina da Silva Pedrini</t>
  </si>
  <si>
    <t xml:space="preserve">Alimentos</t>
  </si>
  <si>
    <t xml:space="preserve">Engenharia de alimentos, novos produtos</t>
  </si>
  <si>
    <t xml:space="preserve">UFRN - LEA/DEQ/CT</t>
  </si>
  <si>
    <t xml:space="preserve">Laboratório de ensino e pesquisa</t>
  </si>
  <si>
    <t xml:space="preserve">Pesquisa em desenvolvimento de novos produtos alimentícios</t>
  </si>
  <si>
    <t xml:space="preserve">Perfil essencialmente de ensino/pesquisa básica em 2024, sem produtos ou patentes declaradas.</t>
  </si>
  <si>
    <t xml:space="preserve">Laboratório de Ecologia da Restauração</t>
  </si>
  <si>
    <t xml:space="preserve">Gislene Ganade</t>
  </si>
  <si>
    <t xml:space="preserve">Meio ambiente</t>
  </si>
  <si>
    <t xml:space="preserve">Restauração ecológica da Caatinga</t>
  </si>
  <si>
    <t xml:space="preserve">UFRN - Depto. de Ecologia/CB</t>
  </si>
  <si>
    <t xml:space="preserve">CIRCA (Centro de Treinamento em Restauração), casa de vegetação na FLONA de Açu</t>
  </si>
  <si>
    <t xml:space="preserve">Prêmio ONU DryLand Champions; metodologia própria de restauração da Caatinga de uso livre</t>
  </si>
  <si>
    <t xml:space="preserve">Não (uso livre dos métodos)</t>
  </si>
  <si>
    <t xml:space="preserve">Metodologia reconhecida internacionalmente (prêmio ONU) com potencial de licenciamento/consultoria para restauração ambiental em larga escala (créditos de carbono, recuperação de áreas degradadas) — atualmente disponibilizada de uso livre, o que limita apropriação comercial direta, mas é ativo estratégico para ESG/bioeconomia.</t>
  </si>
  <si>
    <t xml:space="preserve">Laboratório de análise de produtos das abelhas</t>
  </si>
  <si>
    <t xml:space="preserve">Gunthineia Alves de Lira</t>
  </si>
  <si>
    <t xml:space="preserve">Agroindústria</t>
  </si>
  <si>
    <t xml:space="preserve">Apicultura, bioprodutos (mel, própolis, cera)</t>
  </si>
  <si>
    <t xml:space="preserve">Unidade de processamento e envase de mel</t>
  </si>
  <si>
    <t xml:space="preserve">Certificação de produtos de origem animal em andamento; portfólio (mel, pólen, própolis, cera, kombucha, hidromel, cosméticos)</t>
  </si>
  <si>
    <t xml:space="preserve">Em andamento (produtos de origem animal)</t>
  </si>
  <si>
    <t xml:space="preserve">Não formalmente</t>
  </si>
  <si>
    <t xml:space="preserve">Perfil de bioeconomia/agroindústria com produtos definidos, mas escala e diferenciação tecnológica ainda limitadas para classificar como deep tech — mais próximo de inovação incremental de processo.</t>
  </si>
  <si>
    <t xml:space="preserve">Smart Metropolis Laboratory</t>
  </si>
  <si>
    <t xml:space="preserve">Frederico Lopes</t>
  </si>
  <si>
    <t xml:space="preserve">Tecnologia</t>
  </si>
  <si>
    <t xml:space="preserve">Engenharia de software, sistemas distribuídos, cidades inteligentes</t>
  </si>
  <si>
    <t xml:space="preserve">UFRN - IMD</t>
  </si>
  <si>
    <t xml:space="preserve">Servidores de aplicação e IA, computadores</t>
  </si>
  <si>
    <t xml:space="preserve">10+ anos de soluções para cidades inteligentes; parcerias municipais/estaduais/federais; especializado na plataforma FIWARE</t>
  </si>
  <si>
    <t xml:space="preserve">Não (acessível via parcerias)</t>
  </si>
  <si>
    <t xml:space="preserve">Trajetória consolidada em cidades inteligentes com padrão internacional (FIWARE) e parcerias com governo — bom candidato a deep tech de govtech/urbantech, mas modelo de negócio ainda via convênio, não produto comercial.</t>
  </si>
  <si>
    <t xml:space="preserve">LABPLAN / Observatório das Metrópoles - Núcleo Natal</t>
  </si>
  <si>
    <t xml:space="preserve">Maria do Livramento Miranda Clementino</t>
  </si>
  <si>
    <t xml:space="preserve">Ciências sociais/Urbanismo</t>
  </si>
  <si>
    <t xml:space="preserve">Planejamento urbano e regional, economia urbana</t>
  </si>
  <si>
    <t xml:space="preserve">UFRN - IPP</t>
  </si>
  <si>
    <t xml:space="preserve">Bancada própria, sala de reunião/videoconferência</t>
  </si>
  <si>
    <t xml:space="preserve">INCT do CNPq; lidera rede nacional com Lepur (UFABC) e outros núcleos</t>
  </si>
  <si>
    <t xml:space="preserve">INCT/CNPq</t>
  </si>
  <si>
    <t xml:space="preserve">Referência nacional em ciências urbanas, mas natureza é de pesquisa aplicada em políticas públicas, não de tecnologia proprietária/deep tech no sentido de produto.</t>
  </si>
  <si>
    <t xml:space="preserve">Laboratório de Eletrotécnica</t>
  </si>
  <si>
    <t xml:space="preserve">Alexandre Magnus Fernandes Guimarães</t>
  </si>
  <si>
    <t xml:space="preserve">Circuitos elétricos/eletrônicos, automação</t>
  </si>
  <si>
    <t xml:space="preserve">UFRN - Escola de Ciências e Tecnologia</t>
  </si>
  <si>
    <t xml:space="preserve">Motores elétricos, placas didáticas para bancadas</t>
  </si>
  <si>
    <t xml:space="preserve">Suporte a iniciação científica e pós-graduação</t>
  </si>
  <si>
    <t xml:space="preserve">Perfil predominantemente didático (graduação/BCT); sem evidência de tecnologia proprietária.</t>
  </si>
  <si>
    <t xml:space="preserve">Laboratório de Collembola</t>
  </si>
  <si>
    <t xml:space="preserve">Bruno Cavalcante Bellini</t>
  </si>
  <si>
    <t xml:space="preserve">Taxonomia/ecologia de Collembola (fauna edáfica)</t>
  </si>
  <si>
    <t xml:space="preserve">UFRN - DBEZ/CB</t>
  </si>
  <si>
    <t xml:space="preserve">Coleção científica, microscópios, estereomicroscópios</t>
  </si>
  <si>
    <t xml:space="preserve">Potencial de aplicação em manejo agronômico de solos</t>
  </si>
  <si>
    <t xml:space="preserve">Pesquisa taxonômica de base essencial para bioindicadores de solo, mas sem rota tecnológica declarada para produto/processo.</t>
  </si>
  <si>
    <t xml:space="preserve">Laboratório de Herpetologia (DBEZ)</t>
  </si>
  <si>
    <t xml:space="preserve">Eliza Maria Xavier Freire</t>
  </si>
  <si>
    <t xml:space="preserve">Conservação e identificação de herpetofauna</t>
  </si>
  <si>
    <t xml:space="preserve">Estereomicroscópios, GPS, freezers, biblioteca técnica</t>
  </si>
  <si>
    <t xml:space="preserve">Coordenadora é presidente da Sociedade Brasileira de Herpetologia; parceria ICMBio/RAN (PAN)</t>
  </si>
  <si>
    <t xml:space="preserve">Referência científica e institucional em conservação, com prestação de laudos técnicos, mas fora do escopo de deep tech propriamente dito.</t>
  </si>
  <si>
    <t xml:space="preserve">Laboratório de Bioacústica (UFRN)</t>
  </si>
  <si>
    <t xml:space="preserve">Renata S. Sousa-Lima</t>
  </si>
  <si>
    <t xml:space="preserve">Meio ambiente/Tecnologia</t>
  </si>
  <si>
    <t xml:space="preserve">Bioacústica, ecoacústica, monitoramento ambiental</t>
  </si>
  <si>
    <t xml:space="preserve">Sistemas de gravação/análise de áudio aquático e terrestre</t>
  </si>
  <si>
    <t xml:space="preserve">Laboratório pioneiro no país na área</t>
  </si>
  <si>
    <t xml:space="preserve">Cadastro ANP</t>
  </si>
  <si>
    <t xml:space="preserve">Pioneirismo nacional em ecoacústica cria potencial para monitoramento ambiental automatizado (IA + áudio) com aplicações em ESG e licenciamento ambiental — combinável com IA do InovAI Lab/Smart Metropolis para virar produto de monitoramento contínuo.</t>
  </si>
  <si>
    <t xml:space="preserve">Laboratório de Neurobiologia e Ritmicidade Biológica (LNRB)</t>
  </si>
  <si>
    <t xml:space="preserve">John Fontenele Araujo</t>
  </si>
  <si>
    <t xml:space="preserve">Neurociência (cronobiologia, sono) / tecnologia para saúde</t>
  </si>
  <si>
    <t xml:space="preserve">UFRN - Instituto Santos Dumont</t>
  </si>
  <si>
    <t xml:space="preserve">Sistemas de registro/análise de biossinais (EEG, ECG), polissonografia tipo I e IV</t>
  </si>
  <si>
    <t xml:space="preserve">Desenvolve sistemas de home care e monitoramento cardíaco sem conexões físicas para pessoas com necessidades especiais</t>
  </si>
  <si>
    <t xml:space="preserve">Infraestrutura de ponta em polissonografia e biossinais com aplicação clara em dispositivos médicos vestíveis (wearables de monitoramento remoto) — tecnologia habilitadora relevante, mas o próprio laboratório se descreve como de pesquisa básica com pouca experiência clínica ainda; falta evidência de IP formalizada.</t>
  </si>
  <si>
    <t xml:space="preserve">Resposta ao mapeamento de laboratórios 2024 — laboratório omitido na 1ª versão deste relatório, incluído nesta atualização</t>
  </si>
  <si>
    <t xml:space="preserve">LAPIs - Laboratório e Atelier de Projetos Integrados</t>
  </si>
  <si>
    <t xml:space="preserve">Gleice Elali</t>
  </si>
  <si>
    <t xml:space="preserve">Tecnologia (arquitetura)</t>
  </si>
  <si>
    <t xml:space="preserve">Arquitetura, construção civil, planejamento</t>
  </si>
  <si>
    <t xml:space="preserve">UFRN - Centro de Tecnologia</t>
  </si>
  <si>
    <t xml:space="preserve">Computadores para projeto arquitetônico</t>
  </si>
  <si>
    <t xml:space="preserve">Capacidade crítica instalada para consultoria em projetos de arquitetura</t>
  </si>
  <si>
    <t xml:space="preserve">Assessoria pontual (a partir da participação de professores)</t>
  </si>
  <si>
    <t xml:space="preserve">Perfil de assessoria/consultoria acadêmica em projetos de arquitetura, sem tecnologia proprietária ou produto escalável identificado.</t>
  </si>
  <si>
    <t xml:space="preserve">Laboratório de Energias Renováveis (UFRN)</t>
  </si>
  <si>
    <t xml:space="preserve">Contato institucional (reitoria) em 2024 — atualizado para Grupo CREATION / Mario González em 2025-26</t>
  </si>
  <si>
    <t xml:space="preserve">Energia/Tecnologia</t>
  </si>
  <si>
    <t xml:space="preserve">Energias renováveis: eólica offshore, hidrogênio verde, Power-to-X</t>
  </si>
  <si>
    <t xml:space="preserve">UFRN - Centro de Tecnologia (CTEC)</t>
  </si>
  <si>
    <t xml:space="preserve">Em 2024: computadores, motor diesel, aerogerador, painel fotovoltaico, 45 m² (sala 416/CTEC). Em 2025-26: grupo de pesquisa CREATION com projetos de eólica offshore e Power-to-X</t>
  </si>
  <si>
    <t xml:space="preserve">Grupo CREATION organiza o Brazil Offshore Wind &amp; Power-to-X (BOWPX) — 3ª edição em 2025, 800+ participantes; RN é polo nacional de energia eólica ('Disneylândia dos ventos')</t>
  </si>
  <si>
    <t xml:space="preserve">Sim (avaliação de custo e impacto ambiental, prestação de serviço)</t>
  </si>
  <si>
    <t xml:space="preserve">A resposta original de 2024 subestima este eixo: o laboratório descrito de forma genérica evoluiu (ou convive com) um grupo de pesquisa robusto — CREATION — que hoje lidera a discussão de eólica offshore e Power-to-X (H2 verde, e-metanol, aço verde) no RN, com evento internacional próprio em 2025. Combinado ao LEAA (hidrogênio verde), forma um cluster energético de peso na UFRN. Recomenda-se tratar como um só eixo estratégico de energia/materiais verdes.</t>
  </si>
  <si>
    <t xml:space="preserve">Atualizado via busca — recomenda-se confirmar vínculo institucional exato entre o laboratório de 2024 e o grupo CREATION</t>
  </si>
  <si>
    <t xml:space="preserve">Tribuna do Norte 05/2025 (entrevista Mario González); resposta ao mapeamento de laboratórios 2024</t>
  </si>
  <si>
    <t xml:space="preserve">Grupo de Pesquisa Materiais e Tecnologia dos Pós (não respondeu ao mapeamento de laboratórios 2024)</t>
  </si>
  <si>
    <t xml:space="preserve">Uilame Umbelino Gomes</t>
  </si>
  <si>
    <t xml:space="preserve">Geologia/Materiais/Tecnologia</t>
  </si>
  <si>
    <t xml:space="preserve">Metalurgia do pó, cerâmicas técnicas, metal duro, materiais nanoestruturados, sensores</t>
  </si>
  <si>
    <t xml:space="preserve">UFRN - PPGCEM (Ciência e Engenharia de Materiais)</t>
  </si>
  <si>
    <t xml:space="preserve">Não mapeado pelo mapeamento de laboratórios 2024 (grupo não respondeu ao formulário)</t>
  </si>
  <si>
    <t xml:space="preserve">Segundo reportagem institucional da UFRN, é o pesquisador com mais concessões de patente dentro da universidade; parcerias ativas de cotitularidade com UENF e UFPB; grupo atuante desde a década de 1980; pesquisador 1B do CNPq</t>
  </si>
  <si>
    <t xml:space="preserve">Não informado</t>
  </si>
  <si>
    <t xml:space="preserve">ACHADO CRÍTICO desta atualização: este grupo não está no mapeamento de laboratórios 2024 (não respondeu ao formulário), mas é, segundo a própria Agência de Inovação da UFRN (AGIR), o pesquisador com mais patentes concedidas na instituição — com depósitos recentes (sensor óptico à base de volframita em parceria com UFPB, materiais de corte com metal duro/diamante sinterizado em cotitularidade com UENF). É provavelmente o ativo de maior potencial deep tech em materiais de toda a UFRN, e ficou fora do radar do Mapeamento UFRN por não ter respondido à pesquisa original — recomenda-se contato direto e prioritário da FUNPEC.</t>
  </si>
  <si>
    <t xml:space="preserve">Identificado via busca (não estava no mapeamento original) — priorizar contato direto</t>
  </si>
  <si>
    <t xml:space="preserve">ct.ufrn.br (2022, 2024); AGIR/UFRN vitrine de patentes; SIGAA/Escavador 2025</t>
  </si>
  <si>
    <t xml:space="preserve">ISnano - Inovação e Soluções em Nanotecnologia (não respondeu ao mapeamento 2024)</t>
  </si>
  <si>
    <t xml:space="preserve">Grupo do Departamento de Farmácia UFRN (sócias: Daniele e Mariana, entre outras pesquisadoras)</t>
  </si>
  <si>
    <t xml:space="preserve">Saúde/Materiais</t>
  </si>
  <si>
    <t xml:space="preserve">Nanotecnologia farmacêutica e cosmética a partir da biodiversidade brasileira</t>
  </si>
  <si>
    <t xml:space="preserve">UFRN - Departamento de Farmácia (incubada na BioInova/Metrópole Parque)</t>
  </si>
  <si>
    <t xml:space="preserve">Instalação física, equipamentos e colaboradores dentro da incubadora BioInova (UFRN)</t>
  </si>
  <si>
    <t xml:space="preserve">Primeira empresa do Nordeste a oferecer desenvolvimento de produtos com nanotecnologia para farmácias de manipulação; nasceu de ~10 anos de pesquisa em nanotecnologia aplicada a óleos e extratos de espécies brasileiras; reconhecida como deeptech pelo próprio ecossistema do Metrópole Parque; participou da In Cosmetic Latin America 2023 e do Programa Centelha RN</t>
  </si>
  <si>
    <t xml:space="preserve">Incubada na BioInova (UFRN)</t>
  </si>
  <si>
    <t xml:space="preserve">Sim — empresa em operação, atende farmácias de manipulação e cosméticos</t>
  </si>
  <si>
    <t xml:space="preserve">ACHADO desta rodada: startup real, já vendendo, nascida de um grupo de pesquisa do Departamento de Farmácia da UFRN em nanotecnologia aplicada a óleos e extratos da biodiversidade brasileira. Não respondeu ao mapeamento de 2024 nem havia sido identificada nas rodadas anteriores desta atualização — reforça o padrão já visto com MicroCiclo, LABCIM e Materiais e Tecnologia dos Pós: startups e núcleos já maduros comercialmente tendem a ficar fora de mapeamentos de fomento à inovação porque não sentem necessidade de responder a esse tipo de convocação.</t>
  </si>
  <si>
    <t xml:space="preserve">Identificado via busca — empresa em operação comercial ativa</t>
  </si>
  <si>
    <t xml:space="preserve">LinkedIn ISnano; Programa Centelha RN; metropoledigital.ufrn.br (2026); novonoticias.com.br (2026)</t>
  </si>
  <si>
    <t xml:space="preserve">LABCIM - Laboratório de Cimentos (NTCPP, não respondeu ao mapeamento 2024)</t>
  </si>
  <si>
    <t xml:space="preserve">Antônio Eduardo Martinelli e Julio Cezar de Oliveira Freitas</t>
  </si>
  <si>
    <t xml:space="preserve">Geologia/Materiais/Petróleo</t>
  </si>
  <si>
    <t xml:space="preserve">Cimentação de poços de petróleo, aditivos químicos, pastas cimentantes</t>
  </si>
  <si>
    <t xml:space="preserve">UFRN - Instituto de Química / NTCPP (PPG Ciência e Engenharia de Petróleo)</t>
  </si>
  <si>
    <t xml:space="preserve">Prédio próprio de 675 m² (NTCPP), ~R$7 milhões investidos (Petrobras + FINEP + UFRN); 2 pavimentos, laboratório principal + 3 de apoio</t>
  </si>
  <si>
    <t xml:space="preserve">Site comercial próprio (labcim.com.br) com portfólio de serviços pagos: testes de aditivos químicos, desenvolvimento de sistemas de pasta para poços com condições especiais, testes de contraprova onshore/offshore, testes de compatibilidade cimento×colchão×fluido; mais de 10 anos de atividades normatizadas pelo PROCELAB</t>
  </si>
  <si>
    <t xml:space="preserve">Normatizado pelo PROCELAB</t>
  </si>
  <si>
    <t xml:space="preserve">Sim — modelo de negócio já rodando, com site próprio</t>
  </si>
  <si>
    <t xml:space="preserve">ACHADO CRÍTICO (2ª rodada): este é provavelmente o laboratório com o vínculo de mercado mais maduro de toda a UFRN — tem site comercial próprio, oferece serviços pagos e padronizados havendo mais de uma década de operação, financiado desde a origem por Petrobras/FINEP. Está tecnicamente ligado a boa parte das patentes de 'pasta cimentante' já presentes na prospecção de 340 patentes (pasta geopolimerizada, com quitosana, leve, com incorporador de ar, etc.), que antes desta atualização não tinham laboratório de origem identificado. Não respondeu ao mapeamento de laboratórios 2024 — provável lacuna na convocação original do mapeamento para laboratórios já maduros comercialmente (podem ter percebido menor necessidade de responder a um mapeamento de fomento à inovação).</t>
  </si>
  <si>
    <t xml:space="preserve">Identificado via busca (não estava no mapeamento original) — já opera modelo comercial próprio</t>
  </si>
  <si>
    <t xml:space="preserve">labcim.com.br; ct.ufrn.br (inauguração do NTCPP); SIGAA/Portal IQ-UFRN 2025-26</t>
  </si>
  <si>
    <t xml:space="preserve">Resumo de patentes UFRN por área (base 03/09/2024 — AGIR/UFRN)</t>
  </si>
  <si>
    <t xml:space="preserve">Área</t>
  </si>
  <si>
    <t xml:space="preserve">Quantidade</t>
  </si>
  <si>
    <t xml:space="preserve">% do total</t>
  </si>
  <si>
    <t xml:space="preserve">Nota</t>
  </si>
  <si>
    <t xml:space="preserve">Energias</t>
  </si>
  <si>
    <t xml:space="preserve">Indústrias (demais tecnologias industriais)</t>
  </si>
  <si>
    <t xml:space="preserve">TOTAL</t>
  </si>
  <si>
    <t xml:space="preserve">Fonte: 'Cópia de UFRN patentes.xlsx' (PDF fornecido) — vitrine AGIR/UFRN</t>
  </si>
  <si>
    <t xml:space="preserve">Watchlist — Laboratórios com potencial ALTO ou MÉDIO para Deep Tech</t>
  </si>
  <si>
    <t xml:space="preserve">Prioridade</t>
  </si>
  <si>
    <t xml:space="preserve">Potencial</t>
  </si>
  <si>
    <t xml:space="preserve">Próximo passo sugerido</t>
  </si>
  <si>
    <t xml:space="preserve">Contato para follow-up</t>
  </si>
  <si>
    <t xml:space="preserve">Enviar formulário de atualização + iniciar due diligence de IP com FUNPEC/NIT (checar status INPI, titularidade, TRL) para avaliar depósito internacional (PCT) ou spin-off.</t>
  </si>
  <si>
    <t xml:space="preserve">(preencher e-mail/telefone atualizado)</t>
  </si>
  <si>
    <t xml:space="preserve">Enviar formulário de atualização para identificar se houve avanço em IP/tração desde 2024; priorizar visita técnica se resposta indicar novidade patenteável.</t>
  </si>
  <si>
    <t xml:space="preserve">Distribuição geral (28 laboratórios UFRN mapeados)</t>
  </si>
  <si>
    <t xml:space="preserve">Recorte solicitado: laboratórios de Geologia, Materiais e Tecnologia</t>
  </si>
  <si>
    <t xml:space="preserve">15 dos 26 laboratórios UFRN mapeados tocam em Geologia, Materiais, Tecnologia ou Energia. Ordenados por potencial deep tech.</t>
  </si>
  <si>
    <t xml:space="preserve">Laboratório</t>
  </si>
  <si>
    <t xml:space="preserve">Por que é (ou não é) viável</t>
  </si>
  <si>
    <t xml:space="preserve">Status 2026</t>
  </si>
  <si>
    <t xml:space="preserve">Nota: 'Grupo de Pesquisa Materiais e Tecnologia dos Pós' NÃO respondeu ao formulário mapeamento de laboratórios 2024 — foi identificado nesta atualização via busca na web como, segundo a própria AGIR/UFRN, o pesquisador com mais patentes concedidas na universidade. Recomenda-se contato direto prioritário, fora do fluxo padrão do formulário.</t>
  </si>
  <si>
    <t xml:space="preserve">Roteiro do Formulário de Atualização — Pesquisas em Andamento (para coordenadores de laboratório)</t>
  </si>
  <si>
    <t xml:space="preserve">Copie estas perguntas para uma ferramenta de formulário (Google Forms / Microsoft Forms / SEI) e envie aos coordenadores listados na aba Laboratorios. Campos marcados com * são obrigatórios.</t>
  </si>
  <si>
    <t xml:space="preserve">Nº</t>
  </si>
  <si>
    <t xml:space="preserve">Pergunta</t>
  </si>
  <si>
    <t xml:space="preserve">Tipo de resposta</t>
  </si>
  <si>
    <t xml:space="preserve">Objetivo (por que perguntamos)</t>
  </si>
  <si>
    <t xml:space="preserve">Nome do laboratório/grupo de pesquisa*</t>
  </si>
  <si>
    <t xml:space="preserve">Texto curto</t>
  </si>
  <si>
    <t xml:space="preserve">Vincular à base de 2024</t>
  </si>
  <si>
    <t xml:space="preserve">Coordenador(a) responsável e e-mail atualizado*</t>
  </si>
  <si>
    <t xml:space="preserve">Atualizar cadastro de contato</t>
  </si>
  <si>
    <t xml:space="preserve">As informações de infraestrutura enviadas em 2024 continuam válidas?*</t>
  </si>
  <si>
    <t xml:space="preserve">Sim / Não / Parcialmente</t>
  </si>
  <si>
    <t xml:space="preserve">Detectar mudanças de infraestrutura</t>
  </si>
  <si>
    <t xml:space="preserve">Se não, o que mudou (equipamentos novos, baixados, obras, etc.)?</t>
  </si>
  <si>
    <t xml:space="preserve">Texto longo</t>
  </si>
  <si>
    <t xml:space="preserve">Atualizar infraestrutura</t>
  </si>
  <si>
    <t xml:space="preserve">Quais pesquisas/projetos estão em andamento atualmente?*</t>
  </si>
  <si>
    <t xml:space="preserve">Base para identificar novas tecnologias</t>
  </si>
  <si>
    <t xml:space="preserve">Alguma dessas pesquisas já resultou em pedido de patente, registro de software, cultivar ou outro tipo de propriedade intelectual desde 2024?*</t>
  </si>
  <si>
    <t xml:space="preserve">Sim / Não</t>
  </si>
  <si>
    <t xml:space="preserve">Indicador direto de potencial deep tech</t>
  </si>
  <si>
    <t xml:space="preserve">Se sim, informe título, número do processo (INPI/AGIR) e situação atual (depositado, em exame, concedido)</t>
  </si>
  <si>
    <t xml:space="preserve">Rastrear status de IP</t>
  </si>
  <si>
    <t xml:space="preserve">A tecnologia já foi validada fora do laboratório (piloto, cliente, prêmio, financiamento externo)?</t>
  </si>
  <si>
    <t xml:space="preserve">Sim / Não + detalhes</t>
  </si>
  <si>
    <t xml:space="preserve">Medir TRL / tração de mercado</t>
  </si>
  <si>
    <t xml:space="preserve">Há interesse em transformar a pesquisa em produto, licenciamento ou spin-off (startup)?*</t>
  </si>
  <si>
    <t xml:space="preserve">Sim / Não / Já em andamento</t>
  </si>
  <si>
    <t xml:space="preserve">Priorizar apoio da FUNPEC/NIT</t>
  </si>
  <si>
    <t xml:space="preserve">O laboratório já foi procurado por empresas nos últimos 12 meses?</t>
  </si>
  <si>
    <t xml:space="preserve">Sim / Não + quantas</t>
  </si>
  <si>
    <t xml:space="preserve">Medir demanda de mercado</t>
  </si>
  <si>
    <t xml:space="preserve">Quais equipamentos ou competências o laboratório poderia oferecer para outros grupos (uso multiusuário)?</t>
  </si>
  <si>
    <t xml:space="preserve">Mapear sinergias entre laboratórios</t>
  </si>
  <si>
    <t xml:space="preserve">Classifique o estágio de maturidade tecnológica (TRL) da principal pesquisa atual</t>
  </si>
  <si>
    <t xml:space="preserve">Escala 1-9 (TRL)</t>
  </si>
  <si>
    <t xml:space="preserve">Padronizar comparação entre laboratórios</t>
  </si>
  <si>
    <t xml:space="preserve">Observações livres / apoio que gostaria de receber da FUNPEC</t>
  </si>
  <si>
    <t xml:space="preserve">Coletar demandas específicas</t>
  </si>
  <si>
    <t xml:space="preserve">Metodologia e limitações</t>
  </si>
  <si>
    <t xml:space="preserve">Classificação de Potencial Deep Tech
ALTO: evidência concreta e recente (2024-2026) de propriedade intelectual, prêmio, spin-off ou parceria externa validando a tecnologia fora do ambiente puramente acadêmico.
MÉDIO: infraestrutura, competência técnica e diferenciação de nicho relevantes, mas sem evidência recente de tração/IP no material disponível — recomenda-se follow-up via formulário.
BAIXO: perfil predominante de ensino, extensão ou consultoria/serviço técnico regular, com baixa diferenciação tecnológica proprietária no momento do mapeamento.
Fontes de atualização (2026)
Para os laboratórios classificados como 'Confirmado ativo' ou com status descrito, a informação foi checada via busca na web (páginas institucionais UFRN, Tribuna do Norte, SIGAA, ResearchGate, Escavador/Lattes, redes sociais oficiais) em setembro de 2026. Os demais laboratórios permanecem com o status 'A validar via formulário', pois não há fonte pública recente o suficiente para confirmar mudanças desde a resposta original de 2024 — nesses casos, o dado mais confiável é obtido diretamente com o coordenador.
Limitações importantes
1) Este levantamento NÃO é uma auditoria de propriedade intelectual: os pedidos de patente citados pelos próprios laboratórios (ex.: Propriedades Físicas dos Minerais, Laboratório de análise de sementes) precisam ser confirmados diretamente na base do INPI ou na vitrine AGIR/UFRN (https://agir.ufrn.br/vitrine/patentes) antes de qualquer decisão de negócio.
2) A lista de 340 patentes (planilha de prospecção) não está nominalmente vinculada a cada laboratório respondente — a associação entre patente e laboratório de origem, quando feita neste relatório, é inferencial (por área/tema) e deve ser validada pela FUNPEC/NIT.
3) 'Potencial Deep Tech' é uma primeira triagem qualitativa para priorizar esforço de acompanhamento — não substitui devida diligência técnica, de mercado ou de titularidade de IP.
4) Os dados de 2024 refletem autodeclaração dos respondentes ao formulário de mapeamento; nem todos os laboratórios/grupos de pesquisa da UFRN estão representados.</t>
  </si>
</sst>
</file>

<file path=xl/styles.xml><?xml version="1.0" encoding="utf-8"?>
<styleSheet xmlns="http://schemas.openxmlformats.org/spreadsheetml/2006/main">
  <numFmts count="2">
    <numFmt numFmtId="164" formatCode="General"/>
    <numFmt numFmtId="165" formatCode="0.0%"/>
  </numFmts>
  <fonts count="15">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666666"/>
      <name val="Arial"/>
      <family val="0"/>
      <charset val="1"/>
    </font>
    <font>
      <b val="true"/>
      <sz val="10"/>
      <name val="Arial"/>
      <family val="0"/>
      <charset val="1"/>
    </font>
    <font>
      <sz val="10"/>
      <name val="Arial"/>
      <family val="0"/>
      <charset val="1"/>
    </font>
    <font>
      <b val="true"/>
      <sz val="10"/>
      <color rgb="FFFFFFFF"/>
      <name val="Arial"/>
      <family val="0"/>
      <charset val="1"/>
    </font>
    <font>
      <b val="true"/>
      <sz val="10"/>
      <color rgb="FF006100"/>
      <name val="Arial"/>
      <family val="0"/>
      <charset val="1"/>
    </font>
    <font>
      <b val="true"/>
      <sz val="10"/>
      <color rgb="FF9C6500"/>
      <name val="Arial"/>
      <family val="0"/>
      <charset val="1"/>
    </font>
    <font>
      <b val="true"/>
      <sz val="10"/>
      <color rgb="FF9C0006"/>
      <name val="Arial"/>
      <family val="0"/>
      <charset val="1"/>
    </font>
    <font>
      <b val="true"/>
      <sz val="18"/>
      <color rgb="FF000000"/>
      <name val="Calibri"/>
      <family val="2"/>
    </font>
    <font>
      <sz val="10"/>
      <color rgb="FF000000"/>
      <name val="Calibri"/>
      <family val="2"/>
    </font>
    <font>
      <b val="true"/>
      <sz val="10"/>
      <color rgb="FF000000"/>
      <name val="Calibri"/>
      <family val="2"/>
    </font>
  </fonts>
  <fills count="6">
    <fill>
      <patternFill patternType="none"/>
    </fill>
    <fill>
      <patternFill patternType="gray125"/>
    </fill>
    <fill>
      <patternFill patternType="solid">
        <fgColor rgb="FF1F3864"/>
        <bgColor rgb="FF333333"/>
      </patternFill>
    </fill>
    <fill>
      <patternFill patternType="solid">
        <fgColor rgb="FFC6EFCE"/>
        <bgColor rgb="FFD9D9D9"/>
      </patternFill>
    </fill>
    <fill>
      <patternFill patternType="solid">
        <fgColor rgb="FFFFEB9C"/>
        <bgColor rgb="FFFFFFCC"/>
      </patternFill>
    </fill>
    <fill>
      <patternFill patternType="solid">
        <fgColor rgb="FFFFC7CE"/>
        <bgColor rgb="FFD9D9D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78787"/>
      <rgbColor rgb="FF9999FF"/>
      <rgbColor rgb="FFC0504D"/>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4F81BD"/>
      <rgbColor rgb="FF33CCCC"/>
      <rgbColor rgb="FF9BBB59"/>
      <rgbColor rgb="FFFFCC00"/>
      <rgbColor rgb="FFFF9900"/>
      <rgbColor rgb="FFFF6600"/>
      <rgbColor rgb="FF666666"/>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Patentes UFRN por área (n=340)</a:t>
            </a:r>
          </a:p>
        </c:rich>
      </c:tx>
      <c:overlay val="0"/>
      <c:spPr>
        <a:noFill/>
        <a:ln w="0">
          <a:noFill/>
        </a:ln>
      </c:spPr>
    </c:title>
    <c:autoTitleDeleted val="0"/>
    <c:plotArea>
      <c:pieChart>
        <c:varyColors val="1"/>
        <c:ser>
          <c:idx val="0"/>
          <c:order val="0"/>
          <c:tx>
            <c:strRef>
              <c:f>Patentes_por_Area!B3</c:f>
              <c:strCache>
                <c:ptCount val="1"/>
                <c:pt idx="0">
                  <c:v>Quantidade</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dLbl>
              <c:idx val="2"/>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dLbls>
          <c:cat>
            <c:strRef>
              <c:f>Patentes_por_Area!$A$4:$A$6</c:f>
              <c:strCache>
                <c:ptCount val="3"/>
                <c:pt idx="0">
                  <c:v>Saúde</c:v>
                </c:pt>
                <c:pt idx="1">
                  <c:v>Energias</c:v>
                </c:pt>
                <c:pt idx="2">
                  <c:v>Indústrias (demais tecnologias industriais)</c:v>
                </c:pt>
              </c:strCache>
            </c:strRef>
          </c:cat>
          <c:val>
            <c:numRef>
              <c:f>Patentes_por_Area!$B$4:$B$6</c:f>
              <c:numCache>
                <c:formatCode>General</c:formatCode>
                <c:ptCount val="3"/>
                <c:pt idx="0">
                  <c:v>149</c:v>
                </c:pt>
                <c:pt idx="1">
                  <c:v>42</c:v>
                </c:pt>
                <c:pt idx="2">
                  <c:v>149</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Distribuição de potencial Deep Tech</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Watchlist_DeepTech!$A$26:$A$28</c:f>
              <c:strCache>
                <c:ptCount val="3"/>
                <c:pt idx="0">
                  <c:v>ALTO</c:v>
                </c:pt>
                <c:pt idx="1">
                  <c:v>MEDIO</c:v>
                </c:pt>
                <c:pt idx="2">
                  <c:v>BAIXO</c:v>
                </c:pt>
              </c:strCache>
            </c:strRef>
          </c:cat>
          <c:val>
            <c:numRef>
              <c:f>Watchlist_DeepTech!$B$26:$B$28</c:f>
              <c:numCache>
                <c:formatCode>General</c:formatCode>
                <c:ptCount val="3"/>
                <c:pt idx="0">
                  <c:v>10</c:v>
                </c:pt>
                <c:pt idx="1">
                  <c:v>9</c:v>
                </c:pt>
                <c:pt idx="2">
                  <c:v>9</c:v>
                </c:pt>
              </c:numCache>
            </c:numRef>
          </c:val>
        </c:ser>
        <c:gapWidth val="150"/>
        <c:overlap val="0"/>
        <c:axId val="23415327"/>
        <c:axId val="54494564"/>
      </c:barChart>
      <c:catAx>
        <c:axId val="2341532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4494564"/>
        <c:crosses val="autoZero"/>
        <c:auto val="1"/>
        <c:lblAlgn val="ctr"/>
        <c:lblOffset val="100"/>
        <c:noMultiLvlLbl val="0"/>
      </c:catAx>
      <c:valAx>
        <c:axId val="5449456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Nº de laboratórios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341532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2</xdr:row>
      <xdr:rowOff>0</xdr:rowOff>
    </xdr:from>
    <xdr:to>
      <xdr:col>13</xdr:col>
      <xdr:colOff>147600</xdr:colOff>
      <xdr:row>17</xdr:row>
      <xdr:rowOff>21960</xdr:rowOff>
    </xdr:to>
    <xdr:graphicFrame>
      <xdr:nvGraphicFramePr>
        <xdr:cNvPr id="0" name="Chart 1"/>
        <xdr:cNvGraphicFramePr/>
      </xdr:nvGraphicFramePr>
      <xdr:xfrm>
        <a:off x="8787600" y="380880"/>
        <a:ext cx="503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24</xdr:row>
      <xdr:rowOff>0</xdr:rowOff>
    </xdr:from>
    <xdr:to>
      <xdr:col>5</xdr:col>
      <xdr:colOff>1500120</xdr:colOff>
      <xdr:row>37</xdr:row>
      <xdr:rowOff>43200</xdr:rowOff>
    </xdr:to>
    <xdr:graphicFrame>
      <xdr:nvGraphicFramePr>
        <xdr:cNvPr id="1" name="Chart 1"/>
        <xdr:cNvGraphicFramePr/>
      </xdr:nvGraphicFramePr>
      <xdr:xfrm>
        <a:off x="4370040" y="12897000"/>
        <a:ext cx="431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1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0"/>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219.75" hidden="false" customHeight="true" outlineLevel="0" collapsed="false">
      <c r="B6" s="4" t="s">
        <v>3</v>
      </c>
    </row>
    <row r="9" customFormat="false" ht="15" hidden="false" customHeight="false" outlineLevel="0" collapsed="false">
      <c r="B9" s="3" t="s">
        <v>4</v>
      </c>
    </row>
    <row r="10" customFormat="false" ht="39.75" hidden="false" customHeight="true" outlineLevel="0" collapsed="false">
      <c r="B10" s="4" t="s">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20"/>
    <col collapsed="false" customWidth="true" hidden="false" outlineLevel="0" max="4" min="4" style="0" width="28"/>
    <col collapsed="false" customWidth="true" hidden="false" outlineLevel="0" max="5" min="5" style="0" width="14"/>
    <col collapsed="false" customWidth="true" hidden="false" outlineLevel="0" max="6" min="6" style="0" width="22"/>
    <col collapsed="false" customWidth="true" hidden="false" outlineLevel="0" max="7" min="7" style="0" width="34"/>
    <col collapsed="false" customWidth="true" hidden="false" outlineLevel="0" max="8" min="8" style="0" width="40"/>
    <col collapsed="false" customWidth="true" hidden="false" outlineLevel="0" max="9" min="9" style="0" width="20"/>
    <col collapsed="false" customWidth="true" hidden="false" outlineLevel="0" max="11" min="10" style="0" width="14"/>
    <col collapsed="false" customWidth="true" hidden="false" outlineLevel="0" max="12" min="12" style="0" width="46"/>
    <col collapsed="false" customWidth="true" hidden="false" outlineLevel="0" max="13" min="13" style="0" width="24"/>
    <col collapsed="false" customWidth="true" hidden="false" outlineLevel="0" max="14" min="14" style="0" width="30"/>
  </cols>
  <sheetData>
    <row r="1" customFormat="false" ht="23.85" hidden="false" customHeight="false" outlineLevel="0" collapsed="false">
      <c r="A1" s="5" t="s">
        <v>6</v>
      </c>
      <c r="B1" s="5" t="s">
        <v>7</v>
      </c>
      <c r="C1" s="5" t="s">
        <v>8</v>
      </c>
      <c r="D1" s="5" t="s">
        <v>9</v>
      </c>
      <c r="E1" s="5" t="s">
        <v>10</v>
      </c>
      <c r="F1" s="5" t="s">
        <v>11</v>
      </c>
      <c r="G1" s="5" t="s">
        <v>12</v>
      </c>
      <c r="H1" s="5" t="s">
        <v>13</v>
      </c>
      <c r="I1" s="5" t="s">
        <v>14</v>
      </c>
      <c r="J1" s="5" t="s">
        <v>15</v>
      </c>
      <c r="K1" s="5" t="s">
        <v>16</v>
      </c>
      <c r="L1" s="5" t="s">
        <v>17</v>
      </c>
      <c r="M1" s="5" t="s">
        <v>18</v>
      </c>
      <c r="N1" s="5" t="s">
        <v>19</v>
      </c>
    </row>
    <row r="2" customFormat="false" ht="60" hidden="false" customHeight="true" outlineLevel="0" collapsed="false">
      <c r="A2" s="6" t="s">
        <v>20</v>
      </c>
      <c r="B2" s="6" t="s">
        <v>21</v>
      </c>
      <c r="C2" s="6" t="s">
        <v>22</v>
      </c>
      <c r="D2" s="6" t="s">
        <v>23</v>
      </c>
      <c r="E2" s="6" t="s">
        <v>24</v>
      </c>
      <c r="F2" s="6" t="s">
        <v>25</v>
      </c>
      <c r="G2" s="6" t="s">
        <v>26</v>
      </c>
      <c r="H2" s="6" t="s">
        <v>27</v>
      </c>
      <c r="I2" s="6" t="s">
        <v>28</v>
      </c>
      <c r="J2" s="6" t="s">
        <v>29</v>
      </c>
      <c r="K2" s="7" t="s">
        <v>30</v>
      </c>
      <c r="L2" s="6" t="s">
        <v>31</v>
      </c>
      <c r="M2" s="6" t="s">
        <v>32</v>
      </c>
      <c r="N2" s="6" t="s">
        <v>33</v>
      </c>
    </row>
    <row r="3" customFormat="false" ht="60" hidden="false" customHeight="true" outlineLevel="0" collapsed="false">
      <c r="A3" s="6" t="s">
        <v>34</v>
      </c>
      <c r="B3" s="6" t="s">
        <v>35</v>
      </c>
      <c r="C3" s="6" t="s">
        <v>36</v>
      </c>
      <c r="D3" s="6" t="s">
        <v>37</v>
      </c>
      <c r="E3" s="6" t="s">
        <v>24</v>
      </c>
      <c r="F3" s="6" t="s">
        <v>38</v>
      </c>
      <c r="G3" s="6" t="s">
        <v>39</v>
      </c>
      <c r="H3" s="6" t="s">
        <v>40</v>
      </c>
      <c r="I3" s="6" t="s">
        <v>41</v>
      </c>
      <c r="J3" s="6" t="s">
        <v>42</v>
      </c>
      <c r="K3" s="7" t="s">
        <v>30</v>
      </c>
      <c r="L3" s="6" t="s">
        <v>43</v>
      </c>
      <c r="M3" s="6" t="s">
        <v>44</v>
      </c>
      <c r="N3" s="6" t="s">
        <v>45</v>
      </c>
    </row>
    <row r="4" customFormat="false" ht="60" hidden="false" customHeight="true" outlineLevel="0" collapsed="false">
      <c r="A4" s="6" t="s">
        <v>46</v>
      </c>
      <c r="B4" s="6" t="s">
        <v>47</v>
      </c>
      <c r="C4" s="6" t="s">
        <v>48</v>
      </c>
      <c r="D4" s="6" t="s">
        <v>49</v>
      </c>
      <c r="E4" s="6" t="s">
        <v>24</v>
      </c>
      <c r="F4" s="6" t="s">
        <v>50</v>
      </c>
      <c r="G4" s="6" t="s">
        <v>51</v>
      </c>
      <c r="H4" s="6" t="s">
        <v>52</v>
      </c>
      <c r="I4" s="6" t="s">
        <v>53</v>
      </c>
      <c r="J4" s="6" t="s">
        <v>54</v>
      </c>
      <c r="K4" s="7" t="s">
        <v>30</v>
      </c>
      <c r="L4" s="6" t="s">
        <v>55</v>
      </c>
      <c r="M4" s="6" t="s">
        <v>56</v>
      </c>
      <c r="N4" s="6" t="s">
        <v>57</v>
      </c>
    </row>
    <row r="5" customFormat="false" ht="60" hidden="false" customHeight="true" outlineLevel="0" collapsed="false">
      <c r="A5" s="6" t="s">
        <v>58</v>
      </c>
      <c r="B5" s="6" t="s">
        <v>59</v>
      </c>
      <c r="C5" s="6" t="s">
        <v>60</v>
      </c>
      <c r="D5" s="6" t="s">
        <v>61</v>
      </c>
      <c r="E5" s="6" t="s">
        <v>24</v>
      </c>
      <c r="F5" s="6" t="s">
        <v>62</v>
      </c>
      <c r="G5" s="6" t="s">
        <v>63</v>
      </c>
      <c r="H5" s="6" t="s">
        <v>64</v>
      </c>
      <c r="I5" s="6" t="s">
        <v>65</v>
      </c>
      <c r="J5" s="6" t="s">
        <v>66</v>
      </c>
      <c r="K5" s="7" t="s">
        <v>30</v>
      </c>
      <c r="L5" s="6" t="s">
        <v>67</v>
      </c>
      <c r="M5" s="6" t="s">
        <v>68</v>
      </c>
      <c r="N5" s="6" t="s">
        <v>69</v>
      </c>
    </row>
    <row r="6" customFormat="false" ht="60" hidden="false" customHeight="true" outlineLevel="0" collapsed="false">
      <c r="A6" s="6" t="s">
        <v>70</v>
      </c>
      <c r="B6" s="6" t="s">
        <v>71</v>
      </c>
      <c r="C6" s="6" t="s">
        <v>72</v>
      </c>
      <c r="D6" s="6" t="s">
        <v>73</v>
      </c>
      <c r="E6" s="6" t="s">
        <v>24</v>
      </c>
      <c r="F6" s="6" t="s">
        <v>74</v>
      </c>
      <c r="G6" s="6" t="s">
        <v>75</v>
      </c>
      <c r="H6" s="6" t="s">
        <v>76</v>
      </c>
      <c r="I6" s="6" t="s">
        <v>77</v>
      </c>
      <c r="J6" s="6" t="s">
        <v>78</v>
      </c>
      <c r="K6" s="8" t="s">
        <v>79</v>
      </c>
      <c r="L6" s="6" t="s">
        <v>80</v>
      </c>
      <c r="M6" s="6" t="s">
        <v>81</v>
      </c>
      <c r="N6" s="6" t="s">
        <v>82</v>
      </c>
    </row>
    <row r="7" customFormat="false" ht="60" hidden="false" customHeight="true" outlineLevel="0" collapsed="false">
      <c r="A7" s="6" t="s">
        <v>83</v>
      </c>
      <c r="B7" s="6" t="s">
        <v>84</v>
      </c>
      <c r="C7" s="6" t="s">
        <v>85</v>
      </c>
      <c r="D7" s="6" t="s">
        <v>86</v>
      </c>
      <c r="E7" s="6" t="s">
        <v>24</v>
      </c>
      <c r="F7" s="6" t="s">
        <v>74</v>
      </c>
      <c r="G7" s="6" t="s">
        <v>87</v>
      </c>
      <c r="H7" s="6" t="s">
        <v>88</v>
      </c>
      <c r="I7" s="6" t="s">
        <v>89</v>
      </c>
      <c r="J7" s="6" t="s">
        <v>78</v>
      </c>
      <c r="K7" s="7" t="s">
        <v>30</v>
      </c>
      <c r="L7" s="6" t="s">
        <v>90</v>
      </c>
      <c r="M7" s="6" t="s">
        <v>91</v>
      </c>
      <c r="N7" s="6" t="s">
        <v>92</v>
      </c>
    </row>
    <row r="8" customFormat="false" ht="60" hidden="false" customHeight="true" outlineLevel="0" collapsed="false">
      <c r="A8" s="6" t="s">
        <v>93</v>
      </c>
      <c r="B8" s="6" t="s">
        <v>94</v>
      </c>
      <c r="C8" s="6" t="s">
        <v>95</v>
      </c>
      <c r="D8" s="6" t="s">
        <v>96</v>
      </c>
      <c r="E8" s="6" t="s">
        <v>24</v>
      </c>
      <c r="F8" s="6" t="s">
        <v>97</v>
      </c>
      <c r="G8" s="6" t="s">
        <v>98</v>
      </c>
      <c r="H8" s="6" t="s">
        <v>99</v>
      </c>
      <c r="I8" s="6" t="s">
        <v>89</v>
      </c>
      <c r="J8" s="6" t="s">
        <v>78</v>
      </c>
      <c r="K8" s="8" t="s">
        <v>79</v>
      </c>
      <c r="L8" s="6" t="s">
        <v>100</v>
      </c>
      <c r="M8" s="6" t="s">
        <v>81</v>
      </c>
      <c r="N8" s="6" t="s">
        <v>82</v>
      </c>
    </row>
    <row r="9" customFormat="false" ht="60" hidden="false" customHeight="true" outlineLevel="0" collapsed="false">
      <c r="A9" s="6" t="s">
        <v>101</v>
      </c>
      <c r="B9" s="6" t="s">
        <v>102</v>
      </c>
      <c r="C9" s="6" t="s">
        <v>103</v>
      </c>
      <c r="D9" s="6" t="s">
        <v>104</v>
      </c>
      <c r="E9" s="6" t="s">
        <v>24</v>
      </c>
      <c r="F9" s="6" t="s">
        <v>105</v>
      </c>
      <c r="G9" s="6" t="s">
        <v>106</v>
      </c>
      <c r="H9" s="6" t="s">
        <v>107</v>
      </c>
      <c r="I9" s="6" t="s">
        <v>108</v>
      </c>
      <c r="J9" s="6" t="s">
        <v>109</v>
      </c>
      <c r="K9" s="8" t="s">
        <v>79</v>
      </c>
      <c r="L9" s="6" t="s">
        <v>110</v>
      </c>
      <c r="M9" s="6" t="s">
        <v>81</v>
      </c>
      <c r="N9" s="6" t="s">
        <v>82</v>
      </c>
    </row>
    <row r="10" customFormat="false" ht="60" hidden="false" customHeight="true" outlineLevel="0" collapsed="false">
      <c r="A10" s="6" t="s">
        <v>111</v>
      </c>
      <c r="B10" s="6" t="s">
        <v>112</v>
      </c>
      <c r="C10" s="6" t="s">
        <v>103</v>
      </c>
      <c r="D10" s="6" t="s">
        <v>113</v>
      </c>
      <c r="E10" s="6" t="s">
        <v>24</v>
      </c>
      <c r="F10" s="6" t="s">
        <v>114</v>
      </c>
      <c r="G10" s="6" t="s">
        <v>115</v>
      </c>
      <c r="H10" s="6" t="s">
        <v>116</v>
      </c>
      <c r="I10" s="6" t="s">
        <v>117</v>
      </c>
      <c r="J10" s="6" t="s">
        <v>118</v>
      </c>
      <c r="K10" s="8" t="s">
        <v>79</v>
      </c>
      <c r="L10" s="6" t="s">
        <v>119</v>
      </c>
      <c r="M10" s="6" t="s">
        <v>81</v>
      </c>
      <c r="N10" s="6" t="s">
        <v>82</v>
      </c>
    </row>
    <row r="11" customFormat="false" ht="60" hidden="false" customHeight="true" outlineLevel="0" collapsed="false">
      <c r="A11" s="6" t="s">
        <v>120</v>
      </c>
      <c r="B11" s="6" t="s">
        <v>121</v>
      </c>
      <c r="C11" s="6" t="s">
        <v>122</v>
      </c>
      <c r="D11" s="6" t="s">
        <v>123</v>
      </c>
      <c r="E11" s="6" t="s">
        <v>24</v>
      </c>
      <c r="F11" s="6" t="s">
        <v>89</v>
      </c>
      <c r="G11" s="6" t="s">
        <v>124</v>
      </c>
      <c r="H11" s="6" t="s">
        <v>125</v>
      </c>
      <c r="I11" s="6" t="s">
        <v>126</v>
      </c>
      <c r="J11" s="6" t="s">
        <v>127</v>
      </c>
      <c r="K11" s="9" t="s">
        <v>128</v>
      </c>
      <c r="L11" s="6" t="s">
        <v>129</v>
      </c>
      <c r="M11" s="6" t="s">
        <v>81</v>
      </c>
      <c r="N11" s="6" t="s">
        <v>82</v>
      </c>
    </row>
    <row r="12" customFormat="false" ht="60" hidden="false" customHeight="true" outlineLevel="0" collapsed="false">
      <c r="A12" s="6" t="s">
        <v>130</v>
      </c>
      <c r="B12" s="6" t="s">
        <v>131</v>
      </c>
      <c r="C12" s="6" t="s">
        <v>132</v>
      </c>
      <c r="D12" s="6" t="s">
        <v>133</v>
      </c>
      <c r="E12" s="6" t="s">
        <v>134</v>
      </c>
      <c r="F12" s="6" t="s">
        <v>135</v>
      </c>
      <c r="G12" s="6" t="s">
        <v>136</v>
      </c>
      <c r="H12" s="6" t="s">
        <v>137</v>
      </c>
      <c r="I12" s="6" t="s">
        <v>138</v>
      </c>
      <c r="J12" s="6" t="s">
        <v>139</v>
      </c>
      <c r="K12" s="7" t="s">
        <v>30</v>
      </c>
      <c r="L12" s="6" t="s">
        <v>140</v>
      </c>
      <c r="M12" s="6" t="s">
        <v>141</v>
      </c>
      <c r="N12" s="6" t="s">
        <v>82</v>
      </c>
    </row>
    <row r="13" customFormat="false" ht="60" hidden="false" customHeight="true" outlineLevel="0" collapsed="false">
      <c r="A13" s="6" t="s">
        <v>142</v>
      </c>
      <c r="B13" s="6" t="s">
        <v>143</v>
      </c>
      <c r="C13" s="6" t="s">
        <v>144</v>
      </c>
      <c r="D13" s="6" t="s">
        <v>145</v>
      </c>
      <c r="E13" s="6" t="s">
        <v>24</v>
      </c>
      <c r="F13" s="6" t="s">
        <v>146</v>
      </c>
      <c r="G13" s="6" t="s">
        <v>147</v>
      </c>
      <c r="H13" s="6" t="s">
        <v>148</v>
      </c>
      <c r="I13" s="6" t="s">
        <v>89</v>
      </c>
      <c r="J13" s="6" t="s">
        <v>78</v>
      </c>
      <c r="K13" s="8" t="s">
        <v>79</v>
      </c>
      <c r="L13" s="6" t="s">
        <v>149</v>
      </c>
      <c r="M13" s="6" t="s">
        <v>81</v>
      </c>
      <c r="N13" s="6" t="s">
        <v>82</v>
      </c>
    </row>
    <row r="14" customFormat="false" ht="60" hidden="false" customHeight="true" outlineLevel="0" collapsed="false">
      <c r="A14" s="6" t="s">
        <v>150</v>
      </c>
      <c r="B14" s="6" t="s">
        <v>151</v>
      </c>
      <c r="C14" s="6" t="s">
        <v>152</v>
      </c>
      <c r="D14" s="6" t="s">
        <v>153</v>
      </c>
      <c r="E14" s="6" t="s">
        <v>24</v>
      </c>
      <c r="F14" s="6" t="s">
        <v>154</v>
      </c>
      <c r="G14" s="6" t="s">
        <v>155</v>
      </c>
      <c r="H14" s="6" t="s">
        <v>156</v>
      </c>
      <c r="I14" s="6" t="s">
        <v>78</v>
      </c>
      <c r="J14" s="6" t="s">
        <v>78</v>
      </c>
      <c r="K14" s="9" t="s">
        <v>128</v>
      </c>
      <c r="L14" s="6" t="s">
        <v>157</v>
      </c>
      <c r="M14" s="6" t="s">
        <v>81</v>
      </c>
      <c r="N14" s="6" t="s">
        <v>82</v>
      </c>
    </row>
    <row r="15" customFormat="false" ht="60" hidden="false" customHeight="true" outlineLevel="0" collapsed="false">
      <c r="A15" s="6" t="s">
        <v>158</v>
      </c>
      <c r="B15" s="6" t="s">
        <v>159</v>
      </c>
      <c r="C15" s="6" t="s">
        <v>160</v>
      </c>
      <c r="D15" s="6" t="s">
        <v>161</v>
      </c>
      <c r="E15" s="6" t="s">
        <v>24</v>
      </c>
      <c r="F15" s="6" t="s">
        <v>162</v>
      </c>
      <c r="G15" s="6" t="s">
        <v>163</v>
      </c>
      <c r="H15" s="6" t="s">
        <v>164</v>
      </c>
      <c r="I15" s="6" t="s">
        <v>78</v>
      </c>
      <c r="J15" s="6" t="s">
        <v>78</v>
      </c>
      <c r="K15" s="9" t="s">
        <v>128</v>
      </c>
      <c r="L15" s="6" t="s">
        <v>165</v>
      </c>
      <c r="M15" s="6" t="s">
        <v>81</v>
      </c>
      <c r="N15" s="6" t="s">
        <v>82</v>
      </c>
    </row>
    <row r="16" customFormat="false" ht="60" hidden="false" customHeight="true" outlineLevel="0" collapsed="false">
      <c r="A16" s="6" t="s">
        <v>166</v>
      </c>
      <c r="B16" s="6" t="s">
        <v>167</v>
      </c>
      <c r="C16" s="6" t="s">
        <v>168</v>
      </c>
      <c r="D16" s="6" t="s">
        <v>169</v>
      </c>
      <c r="E16" s="6" t="s">
        <v>24</v>
      </c>
      <c r="F16" s="6" t="s">
        <v>170</v>
      </c>
      <c r="G16" s="6" t="s">
        <v>171</v>
      </c>
      <c r="H16" s="6" t="s">
        <v>172</v>
      </c>
      <c r="I16" s="6" t="s">
        <v>78</v>
      </c>
      <c r="J16" s="6" t="s">
        <v>173</v>
      </c>
      <c r="K16" s="8" t="s">
        <v>79</v>
      </c>
      <c r="L16" s="6" t="s">
        <v>174</v>
      </c>
      <c r="M16" s="6" t="s">
        <v>81</v>
      </c>
      <c r="N16" s="6" t="s">
        <v>82</v>
      </c>
    </row>
    <row r="17" customFormat="false" ht="60" hidden="false" customHeight="true" outlineLevel="0" collapsed="false">
      <c r="A17" s="6" t="s">
        <v>175</v>
      </c>
      <c r="B17" s="6" t="s">
        <v>176</v>
      </c>
      <c r="C17" s="6" t="s">
        <v>177</v>
      </c>
      <c r="D17" s="6" t="s">
        <v>178</v>
      </c>
      <c r="E17" s="6" t="s">
        <v>134</v>
      </c>
      <c r="F17" s="6" t="s">
        <v>135</v>
      </c>
      <c r="G17" s="6" t="s">
        <v>179</v>
      </c>
      <c r="H17" s="6" t="s">
        <v>180</v>
      </c>
      <c r="I17" s="6" t="s">
        <v>181</v>
      </c>
      <c r="J17" s="6" t="s">
        <v>182</v>
      </c>
      <c r="K17" s="9" t="s">
        <v>128</v>
      </c>
      <c r="L17" s="6" t="s">
        <v>183</v>
      </c>
      <c r="M17" s="6" t="s">
        <v>81</v>
      </c>
      <c r="N17" s="6" t="s">
        <v>82</v>
      </c>
    </row>
    <row r="18" customFormat="false" ht="60" hidden="false" customHeight="true" outlineLevel="0" collapsed="false">
      <c r="A18" s="6" t="s">
        <v>184</v>
      </c>
      <c r="B18" s="6" t="s">
        <v>185</v>
      </c>
      <c r="C18" s="6" t="s">
        <v>186</v>
      </c>
      <c r="D18" s="6" t="s">
        <v>187</v>
      </c>
      <c r="E18" s="6" t="s">
        <v>24</v>
      </c>
      <c r="F18" s="6" t="s">
        <v>188</v>
      </c>
      <c r="G18" s="6" t="s">
        <v>189</v>
      </c>
      <c r="H18" s="6" t="s">
        <v>190</v>
      </c>
      <c r="I18" s="6" t="s">
        <v>78</v>
      </c>
      <c r="J18" s="6" t="s">
        <v>191</v>
      </c>
      <c r="K18" s="8" t="s">
        <v>79</v>
      </c>
      <c r="L18" s="6" t="s">
        <v>192</v>
      </c>
      <c r="M18" s="6" t="s">
        <v>81</v>
      </c>
      <c r="N18" s="6" t="s">
        <v>82</v>
      </c>
    </row>
    <row r="19" customFormat="false" ht="60" hidden="false" customHeight="true" outlineLevel="0" collapsed="false">
      <c r="A19" s="6" t="s">
        <v>193</v>
      </c>
      <c r="B19" s="6" t="s">
        <v>194</v>
      </c>
      <c r="C19" s="6" t="s">
        <v>195</v>
      </c>
      <c r="D19" s="6" t="s">
        <v>196</v>
      </c>
      <c r="E19" s="6" t="s">
        <v>24</v>
      </c>
      <c r="F19" s="6" t="s">
        <v>197</v>
      </c>
      <c r="G19" s="6" t="s">
        <v>198</v>
      </c>
      <c r="H19" s="6" t="s">
        <v>199</v>
      </c>
      <c r="I19" s="6" t="s">
        <v>200</v>
      </c>
      <c r="J19" s="6" t="s">
        <v>78</v>
      </c>
      <c r="K19" s="9" t="s">
        <v>128</v>
      </c>
      <c r="L19" s="6" t="s">
        <v>201</v>
      </c>
      <c r="M19" s="6" t="s">
        <v>81</v>
      </c>
      <c r="N19" s="6" t="s">
        <v>82</v>
      </c>
    </row>
    <row r="20" customFormat="false" ht="60" hidden="false" customHeight="true" outlineLevel="0" collapsed="false">
      <c r="A20" s="6" t="s">
        <v>202</v>
      </c>
      <c r="B20" s="6" t="s">
        <v>203</v>
      </c>
      <c r="C20" s="6" t="s">
        <v>186</v>
      </c>
      <c r="D20" s="6" t="s">
        <v>204</v>
      </c>
      <c r="E20" s="6" t="s">
        <v>24</v>
      </c>
      <c r="F20" s="6" t="s">
        <v>205</v>
      </c>
      <c r="G20" s="6" t="s">
        <v>206</v>
      </c>
      <c r="H20" s="6" t="s">
        <v>207</v>
      </c>
      <c r="I20" s="6" t="s">
        <v>78</v>
      </c>
      <c r="J20" s="6" t="s">
        <v>78</v>
      </c>
      <c r="K20" s="9" t="s">
        <v>128</v>
      </c>
      <c r="L20" s="6" t="s">
        <v>208</v>
      </c>
      <c r="M20" s="6" t="s">
        <v>81</v>
      </c>
      <c r="N20" s="6" t="s">
        <v>82</v>
      </c>
    </row>
    <row r="21" customFormat="false" ht="60" hidden="false" customHeight="true" outlineLevel="0" collapsed="false">
      <c r="A21" s="6" t="s">
        <v>209</v>
      </c>
      <c r="B21" s="6" t="s">
        <v>210</v>
      </c>
      <c r="C21" s="6" t="s">
        <v>122</v>
      </c>
      <c r="D21" s="6" t="s">
        <v>211</v>
      </c>
      <c r="E21" s="6" t="s">
        <v>24</v>
      </c>
      <c r="F21" s="6" t="s">
        <v>212</v>
      </c>
      <c r="G21" s="6" t="s">
        <v>213</v>
      </c>
      <c r="H21" s="6" t="s">
        <v>214</v>
      </c>
      <c r="I21" s="6" t="s">
        <v>78</v>
      </c>
      <c r="J21" s="6" t="s">
        <v>78</v>
      </c>
      <c r="K21" s="9" t="s">
        <v>128</v>
      </c>
      <c r="L21" s="6" t="s">
        <v>215</v>
      </c>
      <c r="M21" s="6" t="s">
        <v>81</v>
      </c>
      <c r="N21" s="6" t="s">
        <v>82</v>
      </c>
    </row>
    <row r="22" customFormat="false" ht="60" hidden="false" customHeight="true" outlineLevel="0" collapsed="false">
      <c r="A22" s="6" t="s">
        <v>216</v>
      </c>
      <c r="B22" s="6" t="s">
        <v>217</v>
      </c>
      <c r="C22" s="6" t="s">
        <v>122</v>
      </c>
      <c r="D22" s="6" t="s">
        <v>218</v>
      </c>
      <c r="E22" s="6" t="s">
        <v>24</v>
      </c>
      <c r="F22" s="6" t="s">
        <v>89</v>
      </c>
      <c r="G22" s="6" t="s">
        <v>219</v>
      </c>
      <c r="H22" s="6" t="s">
        <v>220</v>
      </c>
      <c r="I22" s="6" t="s">
        <v>78</v>
      </c>
      <c r="J22" s="6" t="s">
        <v>78</v>
      </c>
      <c r="K22" s="9" t="s">
        <v>128</v>
      </c>
      <c r="L22" s="6" t="s">
        <v>221</v>
      </c>
      <c r="M22" s="6" t="s">
        <v>81</v>
      </c>
      <c r="N22" s="6" t="s">
        <v>82</v>
      </c>
    </row>
    <row r="23" customFormat="false" ht="60" hidden="false" customHeight="true" outlineLevel="0" collapsed="false">
      <c r="A23" s="6" t="s">
        <v>222</v>
      </c>
      <c r="B23" s="6" t="s">
        <v>223</v>
      </c>
      <c r="C23" s="6" t="s">
        <v>224</v>
      </c>
      <c r="D23" s="6" t="s">
        <v>225</v>
      </c>
      <c r="E23" s="6" t="s">
        <v>24</v>
      </c>
      <c r="F23" s="6" t="s">
        <v>89</v>
      </c>
      <c r="G23" s="6" t="s">
        <v>226</v>
      </c>
      <c r="H23" s="6" t="s">
        <v>227</v>
      </c>
      <c r="I23" s="6" t="s">
        <v>228</v>
      </c>
      <c r="J23" s="6" t="s">
        <v>78</v>
      </c>
      <c r="K23" s="8" t="s">
        <v>79</v>
      </c>
      <c r="L23" s="6" t="s">
        <v>229</v>
      </c>
      <c r="M23" s="6" t="s">
        <v>81</v>
      </c>
      <c r="N23" s="6" t="s">
        <v>82</v>
      </c>
    </row>
    <row r="24" customFormat="false" ht="60" hidden="false" customHeight="true" outlineLevel="0" collapsed="false">
      <c r="A24" s="6" t="s">
        <v>230</v>
      </c>
      <c r="B24" s="6" t="s">
        <v>231</v>
      </c>
      <c r="C24" s="6" t="s">
        <v>48</v>
      </c>
      <c r="D24" s="6" t="s">
        <v>232</v>
      </c>
      <c r="E24" s="6" t="s">
        <v>24</v>
      </c>
      <c r="F24" s="6" t="s">
        <v>233</v>
      </c>
      <c r="G24" s="6" t="s">
        <v>234</v>
      </c>
      <c r="H24" s="6" t="s">
        <v>235</v>
      </c>
      <c r="I24" s="6" t="s">
        <v>53</v>
      </c>
      <c r="J24" s="6" t="s">
        <v>54</v>
      </c>
      <c r="K24" s="8" t="s">
        <v>79</v>
      </c>
      <c r="L24" s="6" t="s">
        <v>236</v>
      </c>
      <c r="M24" s="6" t="s">
        <v>81</v>
      </c>
      <c r="N24" s="6" t="s">
        <v>237</v>
      </c>
    </row>
    <row r="25" customFormat="false" ht="60" hidden="false" customHeight="true" outlineLevel="0" collapsed="false">
      <c r="A25" s="6" t="s">
        <v>238</v>
      </c>
      <c r="B25" s="6" t="s">
        <v>239</v>
      </c>
      <c r="C25" s="6" t="s">
        <v>240</v>
      </c>
      <c r="D25" s="6" t="s">
        <v>241</v>
      </c>
      <c r="E25" s="6" t="s">
        <v>24</v>
      </c>
      <c r="F25" s="6" t="s">
        <v>242</v>
      </c>
      <c r="G25" s="6" t="s">
        <v>243</v>
      </c>
      <c r="H25" s="6" t="s">
        <v>244</v>
      </c>
      <c r="I25" s="6" t="s">
        <v>78</v>
      </c>
      <c r="J25" s="6" t="s">
        <v>245</v>
      </c>
      <c r="K25" s="9" t="s">
        <v>128</v>
      </c>
      <c r="L25" s="6" t="s">
        <v>246</v>
      </c>
      <c r="M25" s="6" t="s">
        <v>81</v>
      </c>
      <c r="N25" s="6" t="s">
        <v>237</v>
      </c>
    </row>
    <row r="26" customFormat="false" ht="60" hidden="false" customHeight="true" outlineLevel="0" collapsed="false">
      <c r="A26" s="6" t="s">
        <v>247</v>
      </c>
      <c r="B26" s="6" t="s">
        <v>248</v>
      </c>
      <c r="C26" s="6" t="s">
        <v>249</v>
      </c>
      <c r="D26" s="6" t="s">
        <v>250</v>
      </c>
      <c r="E26" s="6" t="s">
        <v>24</v>
      </c>
      <c r="F26" s="6" t="s">
        <v>251</v>
      </c>
      <c r="G26" s="6" t="s">
        <v>252</v>
      </c>
      <c r="H26" s="6" t="s">
        <v>253</v>
      </c>
      <c r="I26" s="6" t="s">
        <v>78</v>
      </c>
      <c r="J26" s="6" t="s">
        <v>254</v>
      </c>
      <c r="K26" s="7" t="s">
        <v>30</v>
      </c>
      <c r="L26" s="6" t="s">
        <v>255</v>
      </c>
      <c r="M26" s="6" t="s">
        <v>256</v>
      </c>
      <c r="N26" s="6" t="s">
        <v>257</v>
      </c>
    </row>
    <row r="27" customFormat="false" ht="60" hidden="false" customHeight="true" outlineLevel="0" collapsed="false">
      <c r="A27" s="6" t="s">
        <v>258</v>
      </c>
      <c r="B27" s="6" t="s">
        <v>259</v>
      </c>
      <c r="C27" s="6" t="s">
        <v>260</v>
      </c>
      <c r="D27" s="6" t="s">
        <v>261</v>
      </c>
      <c r="E27" s="6" t="s">
        <v>24</v>
      </c>
      <c r="F27" s="6" t="s">
        <v>262</v>
      </c>
      <c r="G27" s="6" t="s">
        <v>263</v>
      </c>
      <c r="H27" s="6" t="s">
        <v>264</v>
      </c>
      <c r="I27" s="6" t="s">
        <v>265</v>
      </c>
      <c r="J27" s="6" t="s">
        <v>265</v>
      </c>
      <c r="K27" s="7" t="s">
        <v>30</v>
      </c>
      <c r="L27" s="6" t="s">
        <v>266</v>
      </c>
      <c r="M27" s="6" t="s">
        <v>267</v>
      </c>
      <c r="N27" s="6" t="s">
        <v>268</v>
      </c>
    </row>
    <row r="28" customFormat="false" ht="60" hidden="false" customHeight="true" outlineLevel="0" collapsed="false">
      <c r="A28" s="6" t="s">
        <v>269</v>
      </c>
      <c r="B28" s="6" t="s">
        <v>270</v>
      </c>
      <c r="C28" s="6" t="s">
        <v>271</v>
      </c>
      <c r="D28" s="6" t="s">
        <v>272</v>
      </c>
      <c r="E28" s="6" t="s">
        <v>24</v>
      </c>
      <c r="F28" s="6" t="s">
        <v>273</v>
      </c>
      <c r="G28" s="6" t="s">
        <v>274</v>
      </c>
      <c r="H28" s="6" t="s">
        <v>275</v>
      </c>
      <c r="I28" s="6" t="s">
        <v>276</v>
      </c>
      <c r="J28" s="6" t="s">
        <v>277</v>
      </c>
      <c r="K28" s="7" t="s">
        <v>30</v>
      </c>
      <c r="L28" s="6" t="s">
        <v>278</v>
      </c>
      <c r="M28" s="6" t="s">
        <v>279</v>
      </c>
      <c r="N28" s="6" t="s">
        <v>280</v>
      </c>
    </row>
    <row r="29" customFormat="false" ht="60" hidden="false" customHeight="true" outlineLevel="0" collapsed="false">
      <c r="A29" s="6" t="s">
        <v>281</v>
      </c>
      <c r="B29" s="6" t="s">
        <v>282</v>
      </c>
      <c r="C29" s="6" t="s">
        <v>283</v>
      </c>
      <c r="D29" s="6" t="s">
        <v>284</v>
      </c>
      <c r="E29" s="6" t="s">
        <v>24</v>
      </c>
      <c r="F29" s="6" t="s">
        <v>285</v>
      </c>
      <c r="G29" s="6" t="s">
        <v>286</v>
      </c>
      <c r="H29" s="6" t="s">
        <v>287</v>
      </c>
      <c r="I29" s="6" t="s">
        <v>288</v>
      </c>
      <c r="J29" s="6" t="s">
        <v>289</v>
      </c>
      <c r="K29" s="7" t="s">
        <v>30</v>
      </c>
      <c r="L29" s="6" t="s">
        <v>290</v>
      </c>
      <c r="M29" s="6" t="s">
        <v>291</v>
      </c>
      <c r="N29" s="6" t="s">
        <v>292</v>
      </c>
    </row>
  </sheetData>
  <dataValidations count="1">
    <dataValidation allowBlank="true" errorStyle="stop" operator="between" showDropDown="false" showErrorMessage="false" showInputMessage="false" sqref="K2:K29" type="list">
      <formula1>"ALTO,MEDIO,BAIXO"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4"/>
    <col collapsed="false" customWidth="true" hidden="false" outlineLevel="0" max="3" min="3" style="0" width="12"/>
    <col collapsed="false" customWidth="true" hidden="false" outlineLevel="0" max="4" min="4" style="0" width="50"/>
  </cols>
  <sheetData>
    <row r="1" customFormat="false" ht="15" hidden="false" customHeight="false" outlineLevel="0" collapsed="false">
      <c r="A1" s="10" t="s">
        <v>293</v>
      </c>
      <c r="B1" s="10"/>
      <c r="C1" s="10"/>
      <c r="D1" s="10"/>
    </row>
    <row r="3" customFormat="false" ht="15" hidden="false" customHeight="false" outlineLevel="0" collapsed="false">
      <c r="A3" s="5" t="s">
        <v>294</v>
      </c>
      <c r="B3" s="5" t="s">
        <v>295</v>
      </c>
      <c r="C3" s="5" t="s">
        <v>296</v>
      </c>
      <c r="D3" s="5" t="s">
        <v>297</v>
      </c>
    </row>
    <row r="4" customFormat="false" ht="15" hidden="false" customHeight="false" outlineLevel="0" collapsed="false">
      <c r="A4" s="11" t="s">
        <v>95</v>
      </c>
      <c r="B4" s="11" t="n">
        <v>149</v>
      </c>
      <c r="C4" s="12" t="n">
        <f aca="false">B4/$B$7</f>
        <v>0.438235294117647</v>
      </c>
    </row>
    <row r="5" customFormat="false" ht="15" hidden="false" customHeight="false" outlineLevel="0" collapsed="false">
      <c r="A5" s="11" t="s">
        <v>298</v>
      </c>
      <c r="B5" s="11" t="n">
        <v>42</v>
      </c>
      <c r="C5" s="12" t="n">
        <f aca="false">B5/$B$7</f>
        <v>0.123529411764706</v>
      </c>
    </row>
    <row r="6" customFormat="false" ht="15" hidden="false" customHeight="false" outlineLevel="0" collapsed="false">
      <c r="A6" s="11" t="s">
        <v>299</v>
      </c>
      <c r="B6" s="11" t="n">
        <v>149</v>
      </c>
      <c r="C6" s="12" t="n">
        <f aca="false">B6/$B$7</f>
        <v>0.438235294117647</v>
      </c>
    </row>
    <row r="7" customFormat="false" ht="15" hidden="false" customHeight="false" outlineLevel="0" collapsed="false">
      <c r="A7" s="13" t="s">
        <v>300</v>
      </c>
      <c r="B7" s="13" t="n">
        <f aca="false">SUM(B4:B6)</f>
        <v>340</v>
      </c>
      <c r="C7" s="12" t="n">
        <f aca="false">B7/B7</f>
        <v>1</v>
      </c>
      <c r="D7" s="14" t="s">
        <v>301</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2"/>
    <col collapsed="false" customWidth="true" hidden="false" outlineLevel="0" max="3" min="3" style="0" width="20"/>
    <col collapsed="false" customWidth="true" hidden="false" outlineLevel="0" max="4" min="4" style="0" width="28"/>
    <col collapsed="false" customWidth="true" hidden="false" outlineLevel="0" max="5" min="5" style="0" width="12"/>
    <col collapsed="false" customWidth="true" hidden="false" outlineLevel="0" max="6" min="6" style="0" width="46"/>
    <col collapsed="false" customWidth="true" hidden="false" outlineLevel="0" max="7" min="7" style="0" width="26"/>
  </cols>
  <sheetData>
    <row r="1" customFormat="false" ht="15" hidden="false" customHeight="false" outlineLevel="0" collapsed="false">
      <c r="A1" s="10" t="s">
        <v>302</v>
      </c>
      <c r="B1" s="10"/>
      <c r="C1" s="10"/>
      <c r="D1" s="10"/>
      <c r="E1" s="10"/>
      <c r="F1" s="10"/>
      <c r="G1" s="10"/>
    </row>
    <row r="3" customFormat="false" ht="15" hidden="false" customHeight="false" outlineLevel="0" collapsed="false">
      <c r="A3" s="5" t="s">
        <v>303</v>
      </c>
      <c r="B3" s="5" t="s">
        <v>6</v>
      </c>
      <c r="C3" s="5" t="s">
        <v>7</v>
      </c>
      <c r="D3" s="5" t="s">
        <v>294</v>
      </c>
      <c r="E3" s="5" t="s">
        <v>304</v>
      </c>
      <c r="F3" s="5" t="s">
        <v>305</v>
      </c>
      <c r="G3" s="5" t="s">
        <v>306</v>
      </c>
    </row>
    <row r="4" customFormat="false" ht="49.5" hidden="false" customHeight="true" outlineLevel="0" collapsed="false">
      <c r="A4" s="6" t="n">
        <v>1</v>
      </c>
      <c r="B4" s="6" t="s">
        <v>258</v>
      </c>
      <c r="C4" s="6" t="s">
        <v>259</v>
      </c>
      <c r="D4" s="6" t="s">
        <v>261</v>
      </c>
      <c r="E4" s="15" t="s">
        <v>30</v>
      </c>
      <c r="F4" s="6" t="s">
        <v>307</v>
      </c>
      <c r="G4" s="6" t="s">
        <v>308</v>
      </c>
    </row>
    <row r="5" customFormat="false" ht="49.5" hidden="false" customHeight="true" outlineLevel="0" collapsed="false">
      <c r="A5" s="6" t="n">
        <v>2</v>
      </c>
      <c r="B5" s="6" t="s">
        <v>269</v>
      </c>
      <c r="C5" s="6" t="s">
        <v>270</v>
      </c>
      <c r="D5" s="6" t="s">
        <v>272</v>
      </c>
      <c r="E5" s="15" t="s">
        <v>30</v>
      </c>
      <c r="F5" s="6" t="s">
        <v>307</v>
      </c>
      <c r="G5" s="6" t="s">
        <v>308</v>
      </c>
    </row>
    <row r="6" customFormat="false" ht="49.5" hidden="false" customHeight="true" outlineLevel="0" collapsed="false">
      <c r="A6" s="6" t="n">
        <v>3</v>
      </c>
      <c r="B6" s="6" t="s">
        <v>20</v>
      </c>
      <c r="C6" s="6" t="s">
        <v>21</v>
      </c>
      <c r="D6" s="6" t="s">
        <v>23</v>
      </c>
      <c r="E6" s="15" t="s">
        <v>30</v>
      </c>
      <c r="F6" s="6" t="s">
        <v>307</v>
      </c>
      <c r="G6" s="6" t="s">
        <v>308</v>
      </c>
    </row>
    <row r="7" customFormat="false" ht="49.5" hidden="false" customHeight="true" outlineLevel="0" collapsed="false">
      <c r="A7" s="6" t="n">
        <v>4</v>
      </c>
      <c r="B7" s="6" t="s">
        <v>281</v>
      </c>
      <c r="C7" s="6" t="s">
        <v>282</v>
      </c>
      <c r="D7" s="6" t="s">
        <v>284</v>
      </c>
      <c r="E7" s="15" t="s">
        <v>30</v>
      </c>
      <c r="F7" s="6" t="s">
        <v>307</v>
      </c>
      <c r="G7" s="6" t="s">
        <v>308</v>
      </c>
    </row>
    <row r="8" customFormat="false" ht="49.5" hidden="false" customHeight="true" outlineLevel="0" collapsed="false">
      <c r="A8" s="6" t="n">
        <v>5</v>
      </c>
      <c r="B8" s="6" t="s">
        <v>58</v>
      </c>
      <c r="C8" s="6" t="s">
        <v>59</v>
      </c>
      <c r="D8" s="6" t="s">
        <v>61</v>
      </c>
      <c r="E8" s="15" t="s">
        <v>30</v>
      </c>
      <c r="F8" s="6" t="s">
        <v>307</v>
      </c>
      <c r="G8" s="6" t="s">
        <v>308</v>
      </c>
    </row>
    <row r="9" customFormat="false" ht="49.5" hidden="false" customHeight="true" outlineLevel="0" collapsed="false">
      <c r="A9" s="6" t="n">
        <v>6</v>
      </c>
      <c r="B9" s="6" t="s">
        <v>34</v>
      </c>
      <c r="C9" s="6" t="s">
        <v>35</v>
      </c>
      <c r="D9" s="6" t="s">
        <v>37</v>
      </c>
      <c r="E9" s="15" t="s">
        <v>30</v>
      </c>
      <c r="F9" s="6" t="s">
        <v>307</v>
      </c>
      <c r="G9" s="6" t="s">
        <v>308</v>
      </c>
    </row>
    <row r="10" customFormat="false" ht="49.5" hidden="false" customHeight="true" outlineLevel="0" collapsed="false">
      <c r="A10" s="6" t="n">
        <v>7</v>
      </c>
      <c r="B10" s="6" t="s">
        <v>247</v>
      </c>
      <c r="C10" s="6" t="s">
        <v>248</v>
      </c>
      <c r="D10" s="6" t="s">
        <v>250</v>
      </c>
      <c r="E10" s="15" t="s">
        <v>30</v>
      </c>
      <c r="F10" s="6" t="s">
        <v>307</v>
      </c>
      <c r="G10" s="6" t="s">
        <v>308</v>
      </c>
    </row>
    <row r="11" customFormat="false" ht="49.5" hidden="false" customHeight="true" outlineLevel="0" collapsed="false">
      <c r="A11" s="6" t="n">
        <v>8</v>
      </c>
      <c r="B11" s="6" t="s">
        <v>46</v>
      </c>
      <c r="C11" s="6" t="s">
        <v>47</v>
      </c>
      <c r="D11" s="6" t="s">
        <v>49</v>
      </c>
      <c r="E11" s="15" t="s">
        <v>30</v>
      </c>
      <c r="F11" s="6" t="s">
        <v>307</v>
      </c>
      <c r="G11" s="6" t="s">
        <v>308</v>
      </c>
    </row>
    <row r="12" customFormat="false" ht="49.5" hidden="false" customHeight="true" outlineLevel="0" collapsed="false">
      <c r="A12" s="6" t="n">
        <v>9</v>
      </c>
      <c r="B12" s="6" t="s">
        <v>130</v>
      </c>
      <c r="C12" s="6" t="s">
        <v>131</v>
      </c>
      <c r="D12" s="6" t="s">
        <v>133</v>
      </c>
      <c r="E12" s="15" t="s">
        <v>30</v>
      </c>
      <c r="F12" s="6" t="s">
        <v>307</v>
      </c>
      <c r="G12" s="6" t="s">
        <v>308</v>
      </c>
    </row>
    <row r="13" customFormat="false" ht="49.5" hidden="false" customHeight="true" outlineLevel="0" collapsed="false">
      <c r="A13" s="6" t="n">
        <v>10</v>
      </c>
      <c r="B13" s="6" t="s">
        <v>83</v>
      </c>
      <c r="C13" s="6" t="s">
        <v>84</v>
      </c>
      <c r="D13" s="6" t="s">
        <v>86</v>
      </c>
      <c r="E13" s="15" t="s">
        <v>30</v>
      </c>
      <c r="F13" s="6" t="s">
        <v>307</v>
      </c>
      <c r="G13" s="6" t="s">
        <v>308</v>
      </c>
    </row>
    <row r="14" customFormat="false" ht="49.5" hidden="false" customHeight="true" outlineLevel="0" collapsed="false">
      <c r="A14" s="6" t="n">
        <v>11</v>
      </c>
      <c r="B14" s="6" t="s">
        <v>70</v>
      </c>
      <c r="C14" s="6" t="s">
        <v>71</v>
      </c>
      <c r="D14" s="6" t="s">
        <v>73</v>
      </c>
      <c r="E14" s="16" t="s">
        <v>79</v>
      </c>
      <c r="F14" s="6" t="s">
        <v>309</v>
      </c>
      <c r="G14" s="6" t="s">
        <v>308</v>
      </c>
    </row>
    <row r="15" customFormat="false" ht="49.5" hidden="false" customHeight="true" outlineLevel="0" collapsed="false">
      <c r="A15" s="6" t="n">
        <v>12</v>
      </c>
      <c r="B15" s="6" t="s">
        <v>142</v>
      </c>
      <c r="C15" s="6" t="s">
        <v>143</v>
      </c>
      <c r="D15" s="6" t="s">
        <v>145</v>
      </c>
      <c r="E15" s="16" t="s">
        <v>79</v>
      </c>
      <c r="F15" s="6" t="s">
        <v>309</v>
      </c>
      <c r="G15" s="6" t="s">
        <v>308</v>
      </c>
    </row>
    <row r="16" customFormat="false" ht="49.5" hidden="false" customHeight="true" outlineLevel="0" collapsed="false">
      <c r="A16" s="6" t="n">
        <v>13</v>
      </c>
      <c r="B16" s="6" t="s">
        <v>101</v>
      </c>
      <c r="C16" s="6" t="s">
        <v>102</v>
      </c>
      <c r="D16" s="6" t="s">
        <v>104</v>
      </c>
      <c r="E16" s="16" t="s">
        <v>79</v>
      </c>
      <c r="F16" s="6" t="s">
        <v>309</v>
      </c>
      <c r="G16" s="6" t="s">
        <v>308</v>
      </c>
    </row>
    <row r="17" customFormat="false" ht="49.5" hidden="false" customHeight="true" outlineLevel="0" collapsed="false">
      <c r="A17" s="6" t="n">
        <v>14</v>
      </c>
      <c r="B17" s="6" t="s">
        <v>222</v>
      </c>
      <c r="C17" s="6" t="s">
        <v>223</v>
      </c>
      <c r="D17" s="6" t="s">
        <v>225</v>
      </c>
      <c r="E17" s="16" t="s">
        <v>79</v>
      </c>
      <c r="F17" s="6" t="s">
        <v>309</v>
      </c>
      <c r="G17" s="6" t="s">
        <v>308</v>
      </c>
    </row>
    <row r="18" customFormat="false" ht="49.5" hidden="false" customHeight="true" outlineLevel="0" collapsed="false">
      <c r="A18" s="6" t="n">
        <v>15</v>
      </c>
      <c r="B18" s="6" t="s">
        <v>166</v>
      </c>
      <c r="C18" s="6" t="s">
        <v>167</v>
      </c>
      <c r="D18" s="6" t="s">
        <v>169</v>
      </c>
      <c r="E18" s="16" t="s">
        <v>79</v>
      </c>
      <c r="F18" s="6" t="s">
        <v>309</v>
      </c>
      <c r="G18" s="6" t="s">
        <v>308</v>
      </c>
    </row>
    <row r="19" customFormat="false" ht="49.5" hidden="false" customHeight="true" outlineLevel="0" collapsed="false">
      <c r="A19" s="6" t="n">
        <v>16</v>
      </c>
      <c r="B19" s="6" t="s">
        <v>230</v>
      </c>
      <c r="C19" s="6" t="s">
        <v>231</v>
      </c>
      <c r="D19" s="6" t="s">
        <v>232</v>
      </c>
      <c r="E19" s="16" t="s">
        <v>79</v>
      </c>
      <c r="F19" s="6" t="s">
        <v>309</v>
      </c>
      <c r="G19" s="6" t="s">
        <v>308</v>
      </c>
    </row>
    <row r="20" customFormat="false" ht="49.5" hidden="false" customHeight="true" outlineLevel="0" collapsed="false">
      <c r="A20" s="6" t="n">
        <v>17</v>
      </c>
      <c r="B20" s="6" t="s">
        <v>111</v>
      </c>
      <c r="C20" s="6" t="s">
        <v>112</v>
      </c>
      <c r="D20" s="6" t="s">
        <v>113</v>
      </c>
      <c r="E20" s="16" t="s">
        <v>79</v>
      </c>
      <c r="F20" s="6" t="s">
        <v>309</v>
      </c>
      <c r="G20" s="6" t="s">
        <v>308</v>
      </c>
    </row>
    <row r="21" customFormat="false" ht="49.5" hidden="false" customHeight="true" outlineLevel="0" collapsed="false">
      <c r="A21" s="6" t="n">
        <v>18</v>
      </c>
      <c r="B21" s="6" t="s">
        <v>93</v>
      </c>
      <c r="C21" s="6" t="s">
        <v>94</v>
      </c>
      <c r="D21" s="6" t="s">
        <v>96</v>
      </c>
      <c r="E21" s="16" t="s">
        <v>79</v>
      </c>
      <c r="F21" s="6" t="s">
        <v>309</v>
      </c>
      <c r="G21" s="6" t="s">
        <v>308</v>
      </c>
    </row>
    <row r="22" customFormat="false" ht="49.5" hidden="false" customHeight="true" outlineLevel="0" collapsed="false">
      <c r="A22" s="6" t="n">
        <v>19</v>
      </c>
      <c r="B22" s="6" t="s">
        <v>184</v>
      </c>
      <c r="C22" s="6" t="s">
        <v>185</v>
      </c>
      <c r="D22" s="6" t="s">
        <v>187</v>
      </c>
      <c r="E22" s="16" t="s">
        <v>79</v>
      </c>
      <c r="F22" s="6" t="s">
        <v>309</v>
      </c>
      <c r="G22" s="6" t="s">
        <v>308</v>
      </c>
    </row>
    <row r="25" customFormat="false" ht="15" hidden="false" customHeight="false" outlineLevel="0" collapsed="false">
      <c r="A25" s="3" t="s">
        <v>310</v>
      </c>
    </row>
    <row r="26" customFormat="false" ht="15" hidden="false" customHeight="false" outlineLevel="0" collapsed="false">
      <c r="A26" s="17" t="s">
        <v>30</v>
      </c>
      <c r="B26" s="0" t="n">
        <v>10</v>
      </c>
    </row>
    <row r="27" customFormat="false" ht="15" hidden="false" customHeight="false" outlineLevel="0" collapsed="false">
      <c r="A27" s="17" t="s">
        <v>79</v>
      </c>
      <c r="B27" s="0" t="n">
        <v>9</v>
      </c>
    </row>
    <row r="28" customFormat="false" ht="15" hidden="false" customHeight="false" outlineLevel="0" collapsed="false">
      <c r="A28" s="17" t="s">
        <v>128</v>
      </c>
      <c r="B28" s="0" t="n">
        <v>9</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22"/>
    <col collapsed="false" customWidth="true" hidden="false" outlineLevel="0" max="4" min="4" style="0" width="12"/>
    <col collapsed="false" customWidth="true" hidden="false" outlineLevel="0" max="5" min="5" style="0" width="55"/>
    <col collapsed="false" customWidth="true" hidden="false" outlineLevel="0" max="6" min="6" style="0" width="28"/>
  </cols>
  <sheetData>
    <row r="1" customFormat="false" ht="15" hidden="false" customHeight="false" outlineLevel="0" collapsed="false">
      <c r="A1" s="10" t="s">
        <v>311</v>
      </c>
      <c r="B1" s="10"/>
      <c r="C1" s="10"/>
      <c r="D1" s="10"/>
      <c r="E1" s="10"/>
      <c r="F1" s="10"/>
    </row>
    <row r="2" customFormat="false" ht="25.5" hidden="false" customHeight="true" outlineLevel="0" collapsed="false">
      <c r="A2" s="18" t="s">
        <v>312</v>
      </c>
      <c r="B2" s="18"/>
      <c r="C2" s="18"/>
      <c r="D2" s="18"/>
      <c r="E2" s="18"/>
      <c r="F2" s="18"/>
    </row>
    <row r="4" customFormat="false" ht="15" hidden="false" customHeight="false" outlineLevel="0" collapsed="false">
      <c r="A4" s="5" t="s">
        <v>313</v>
      </c>
      <c r="B4" s="5" t="s">
        <v>7</v>
      </c>
      <c r="C4" s="5" t="s">
        <v>8</v>
      </c>
      <c r="D4" s="5" t="s">
        <v>304</v>
      </c>
      <c r="E4" s="5" t="s">
        <v>314</v>
      </c>
      <c r="F4" s="5" t="s">
        <v>315</v>
      </c>
    </row>
    <row r="5" customFormat="false" ht="75" hidden="false" customHeight="true" outlineLevel="0" collapsed="false">
      <c r="A5" s="6" t="s">
        <v>258</v>
      </c>
      <c r="B5" s="6" t="s">
        <v>259</v>
      </c>
      <c r="C5" s="6" t="s">
        <v>260</v>
      </c>
      <c r="D5" s="15" t="s">
        <v>30</v>
      </c>
      <c r="E5" s="6" t="s">
        <v>266</v>
      </c>
      <c r="F5" s="6" t="s">
        <v>267</v>
      </c>
    </row>
    <row r="6" customFormat="false" ht="75" hidden="false" customHeight="true" outlineLevel="0" collapsed="false">
      <c r="A6" s="6" t="s">
        <v>269</v>
      </c>
      <c r="B6" s="6" t="s">
        <v>270</v>
      </c>
      <c r="C6" s="6" t="s">
        <v>271</v>
      </c>
      <c r="D6" s="15" t="s">
        <v>30</v>
      </c>
      <c r="E6" s="6" t="s">
        <v>278</v>
      </c>
      <c r="F6" s="6" t="s">
        <v>279</v>
      </c>
    </row>
    <row r="7" customFormat="false" ht="75" hidden="false" customHeight="true" outlineLevel="0" collapsed="false">
      <c r="A7" s="6" t="s">
        <v>20</v>
      </c>
      <c r="B7" s="6" t="s">
        <v>21</v>
      </c>
      <c r="C7" s="6" t="s">
        <v>22</v>
      </c>
      <c r="D7" s="15" t="s">
        <v>30</v>
      </c>
      <c r="E7" s="6" t="s">
        <v>31</v>
      </c>
      <c r="F7" s="6" t="s">
        <v>32</v>
      </c>
    </row>
    <row r="8" customFormat="false" ht="75" hidden="false" customHeight="true" outlineLevel="0" collapsed="false">
      <c r="A8" s="6" t="s">
        <v>281</v>
      </c>
      <c r="B8" s="6" t="s">
        <v>282</v>
      </c>
      <c r="C8" s="6" t="s">
        <v>283</v>
      </c>
      <c r="D8" s="15" t="s">
        <v>30</v>
      </c>
      <c r="E8" s="6" t="s">
        <v>290</v>
      </c>
      <c r="F8" s="6" t="s">
        <v>291</v>
      </c>
    </row>
    <row r="9" customFormat="false" ht="75" hidden="false" customHeight="true" outlineLevel="0" collapsed="false">
      <c r="A9" s="6" t="s">
        <v>34</v>
      </c>
      <c r="B9" s="6" t="s">
        <v>35</v>
      </c>
      <c r="C9" s="6" t="s">
        <v>36</v>
      </c>
      <c r="D9" s="15" t="s">
        <v>30</v>
      </c>
      <c r="E9" s="6" t="s">
        <v>43</v>
      </c>
      <c r="F9" s="6" t="s">
        <v>44</v>
      </c>
    </row>
    <row r="10" customFormat="false" ht="75" hidden="false" customHeight="true" outlineLevel="0" collapsed="false">
      <c r="A10" s="6" t="s">
        <v>247</v>
      </c>
      <c r="B10" s="6" t="s">
        <v>248</v>
      </c>
      <c r="C10" s="6" t="s">
        <v>249</v>
      </c>
      <c r="D10" s="15" t="s">
        <v>30</v>
      </c>
      <c r="E10" s="6" t="s">
        <v>255</v>
      </c>
      <c r="F10" s="6" t="s">
        <v>256</v>
      </c>
    </row>
    <row r="11" customFormat="false" ht="75" hidden="false" customHeight="true" outlineLevel="0" collapsed="false">
      <c r="A11" s="6" t="s">
        <v>46</v>
      </c>
      <c r="B11" s="6" t="s">
        <v>47</v>
      </c>
      <c r="C11" s="6" t="s">
        <v>48</v>
      </c>
      <c r="D11" s="15" t="s">
        <v>30</v>
      </c>
      <c r="E11" s="6" t="s">
        <v>55</v>
      </c>
      <c r="F11" s="6" t="s">
        <v>56</v>
      </c>
    </row>
    <row r="12" customFormat="false" ht="75" hidden="false" customHeight="true" outlineLevel="0" collapsed="false">
      <c r="A12" s="6" t="s">
        <v>83</v>
      </c>
      <c r="B12" s="6" t="s">
        <v>84</v>
      </c>
      <c r="C12" s="6" t="s">
        <v>85</v>
      </c>
      <c r="D12" s="15" t="s">
        <v>30</v>
      </c>
      <c r="E12" s="6" t="s">
        <v>90</v>
      </c>
      <c r="F12" s="6" t="s">
        <v>91</v>
      </c>
    </row>
    <row r="13" customFormat="false" ht="75" hidden="false" customHeight="true" outlineLevel="0" collapsed="false">
      <c r="A13" s="6" t="s">
        <v>70</v>
      </c>
      <c r="B13" s="6" t="s">
        <v>71</v>
      </c>
      <c r="C13" s="6" t="s">
        <v>72</v>
      </c>
      <c r="D13" s="16" t="s">
        <v>79</v>
      </c>
      <c r="E13" s="6" t="s">
        <v>80</v>
      </c>
      <c r="F13" s="6" t="s">
        <v>81</v>
      </c>
    </row>
    <row r="14" customFormat="false" ht="75" hidden="false" customHeight="true" outlineLevel="0" collapsed="false">
      <c r="A14" s="6" t="s">
        <v>142</v>
      </c>
      <c r="B14" s="6" t="s">
        <v>143</v>
      </c>
      <c r="C14" s="6" t="s">
        <v>144</v>
      </c>
      <c r="D14" s="16" t="s">
        <v>79</v>
      </c>
      <c r="E14" s="6" t="s">
        <v>149</v>
      </c>
      <c r="F14" s="6" t="s">
        <v>81</v>
      </c>
    </row>
    <row r="15" customFormat="false" ht="75" hidden="false" customHeight="true" outlineLevel="0" collapsed="false">
      <c r="A15" s="6" t="s">
        <v>101</v>
      </c>
      <c r="B15" s="6" t="s">
        <v>102</v>
      </c>
      <c r="C15" s="6" t="s">
        <v>103</v>
      </c>
      <c r="D15" s="16" t="s">
        <v>79</v>
      </c>
      <c r="E15" s="6" t="s">
        <v>110</v>
      </c>
      <c r="F15" s="6" t="s">
        <v>81</v>
      </c>
    </row>
    <row r="16" customFormat="false" ht="75" hidden="false" customHeight="true" outlineLevel="0" collapsed="false">
      <c r="A16" s="6" t="s">
        <v>222</v>
      </c>
      <c r="B16" s="6" t="s">
        <v>223</v>
      </c>
      <c r="C16" s="6" t="s">
        <v>224</v>
      </c>
      <c r="D16" s="16" t="s">
        <v>79</v>
      </c>
      <c r="E16" s="6" t="s">
        <v>229</v>
      </c>
      <c r="F16" s="6" t="s">
        <v>81</v>
      </c>
    </row>
    <row r="17" customFormat="false" ht="75" hidden="false" customHeight="true" outlineLevel="0" collapsed="false">
      <c r="A17" s="6" t="s">
        <v>230</v>
      </c>
      <c r="B17" s="6" t="s">
        <v>231</v>
      </c>
      <c r="C17" s="6" t="s">
        <v>48</v>
      </c>
      <c r="D17" s="16" t="s">
        <v>79</v>
      </c>
      <c r="E17" s="6" t="s">
        <v>236</v>
      </c>
      <c r="F17" s="6" t="s">
        <v>81</v>
      </c>
    </row>
    <row r="18" customFormat="false" ht="75" hidden="false" customHeight="true" outlineLevel="0" collapsed="false">
      <c r="A18" s="6" t="s">
        <v>111</v>
      </c>
      <c r="B18" s="6" t="s">
        <v>112</v>
      </c>
      <c r="C18" s="6" t="s">
        <v>103</v>
      </c>
      <c r="D18" s="16" t="s">
        <v>79</v>
      </c>
      <c r="E18" s="6" t="s">
        <v>119</v>
      </c>
      <c r="F18" s="6" t="s">
        <v>81</v>
      </c>
    </row>
    <row r="19" customFormat="false" ht="75" hidden="false" customHeight="true" outlineLevel="0" collapsed="false">
      <c r="A19" s="6" t="s">
        <v>184</v>
      </c>
      <c r="B19" s="6" t="s">
        <v>185</v>
      </c>
      <c r="C19" s="6" t="s">
        <v>186</v>
      </c>
      <c r="D19" s="16" t="s">
        <v>79</v>
      </c>
      <c r="E19" s="6" t="s">
        <v>192</v>
      </c>
      <c r="F19" s="6" t="s">
        <v>81</v>
      </c>
    </row>
    <row r="20" customFormat="false" ht="75" hidden="false" customHeight="true" outlineLevel="0" collapsed="false">
      <c r="A20" s="6" t="s">
        <v>238</v>
      </c>
      <c r="B20" s="6" t="s">
        <v>239</v>
      </c>
      <c r="C20" s="6" t="s">
        <v>240</v>
      </c>
      <c r="D20" s="19" t="s">
        <v>128</v>
      </c>
      <c r="E20" s="6" t="s">
        <v>246</v>
      </c>
      <c r="F20" s="6" t="s">
        <v>81</v>
      </c>
    </row>
    <row r="21" customFormat="false" ht="75" hidden="false" customHeight="true" outlineLevel="0" collapsed="false">
      <c r="A21" s="6" t="s">
        <v>202</v>
      </c>
      <c r="B21" s="6" t="s">
        <v>203</v>
      </c>
      <c r="C21" s="6" t="s">
        <v>186</v>
      </c>
      <c r="D21" s="19" t="s">
        <v>128</v>
      </c>
      <c r="E21" s="6" t="s">
        <v>208</v>
      </c>
      <c r="F21" s="6" t="s">
        <v>81</v>
      </c>
    </row>
    <row r="24" customFormat="false" ht="39.75" hidden="false" customHeight="true" outlineLevel="0" collapsed="false">
      <c r="A24" s="18" t="s">
        <v>316</v>
      </c>
      <c r="B24" s="18"/>
      <c r="C24" s="18"/>
      <c r="D24" s="18"/>
      <c r="E24" s="18"/>
      <c r="F24" s="18"/>
    </row>
  </sheetData>
  <mergeCells count="3">
    <mergeCell ref="A1:F1"/>
    <mergeCell ref="A2:F2"/>
    <mergeCell ref="A24:F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5"/>
    <col collapsed="false" customWidth="true" hidden="false" outlineLevel="0" max="3" min="3" style="0" width="20"/>
    <col collapsed="false" customWidth="true" hidden="false" outlineLevel="0" max="4" min="4" style="0" width="34"/>
  </cols>
  <sheetData>
    <row r="1" customFormat="false" ht="15" hidden="false" customHeight="false" outlineLevel="0" collapsed="false">
      <c r="A1" s="10" t="s">
        <v>317</v>
      </c>
      <c r="B1" s="10"/>
      <c r="C1" s="10"/>
      <c r="D1" s="10"/>
    </row>
    <row r="2" customFormat="false" ht="30" hidden="false" customHeight="true" outlineLevel="0" collapsed="false">
      <c r="A2" s="18" t="s">
        <v>318</v>
      </c>
      <c r="B2" s="18"/>
      <c r="C2" s="18"/>
      <c r="D2" s="18"/>
    </row>
    <row r="4" customFormat="false" ht="15" hidden="false" customHeight="false" outlineLevel="0" collapsed="false">
      <c r="A4" s="5" t="s">
        <v>319</v>
      </c>
      <c r="B4" s="5" t="s">
        <v>320</v>
      </c>
      <c r="C4" s="5" t="s">
        <v>321</v>
      </c>
      <c r="D4" s="5" t="s">
        <v>322</v>
      </c>
    </row>
    <row r="5" customFormat="false" ht="42" hidden="false" customHeight="true" outlineLevel="0" collapsed="false">
      <c r="A5" s="6" t="n">
        <v>1</v>
      </c>
      <c r="B5" s="6" t="s">
        <v>323</v>
      </c>
      <c r="C5" s="6" t="s">
        <v>324</v>
      </c>
      <c r="D5" s="6" t="s">
        <v>325</v>
      </c>
    </row>
    <row r="6" customFormat="false" ht="42" hidden="false" customHeight="true" outlineLevel="0" collapsed="false">
      <c r="A6" s="6" t="n">
        <v>2</v>
      </c>
      <c r="B6" s="6" t="s">
        <v>326</v>
      </c>
      <c r="C6" s="6" t="s">
        <v>324</v>
      </c>
      <c r="D6" s="6" t="s">
        <v>327</v>
      </c>
    </row>
    <row r="7" customFormat="false" ht="42" hidden="false" customHeight="true" outlineLevel="0" collapsed="false">
      <c r="A7" s="6" t="n">
        <v>3</v>
      </c>
      <c r="B7" s="6" t="s">
        <v>328</v>
      </c>
      <c r="C7" s="6" t="s">
        <v>329</v>
      </c>
      <c r="D7" s="6" t="s">
        <v>330</v>
      </c>
    </row>
    <row r="8" customFormat="false" ht="42" hidden="false" customHeight="true" outlineLevel="0" collapsed="false">
      <c r="A8" s="6" t="n">
        <v>4</v>
      </c>
      <c r="B8" s="6" t="s">
        <v>331</v>
      </c>
      <c r="C8" s="6" t="s">
        <v>332</v>
      </c>
      <c r="D8" s="6" t="s">
        <v>333</v>
      </c>
    </row>
    <row r="9" customFormat="false" ht="42" hidden="false" customHeight="true" outlineLevel="0" collapsed="false">
      <c r="A9" s="6" t="n">
        <v>5</v>
      </c>
      <c r="B9" s="6" t="s">
        <v>334</v>
      </c>
      <c r="C9" s="6" t="s">
        <v>332</v>
      </c>
      <c r="D9" s="6" t="s">
        <v>335</v>
      </c>
    </row>
    <row r="10" customFormat="false" ht="42" hidden="false" customHeight="true" outlineLevel="0" collapsed="false">
      <c r="A10" s="6" t="n">
        <v>6</v>
      </c>
      <c r="B10" s="6" t="s">
        <v>336</v>
      </c>
      <c r="C10" s="6" t="s">
        <v>337</v>
      </c>
      <c r="D10" s="6" t="s">
        <v>338</v>
      </c>
    </row>
    <row r="11" customFormat="false" ht="42" hidden="false" customHeight="true" outlineLevel="0" collapsed="false">
      <c r="A11" s="6" t="n">
        <v>7</v>
      </c>
      <c r="B11" s="6" t="s">
        <v>339</v>
      </c>
      <c r="C11" s="6" t="s">
        <v>332</v>
      </c>
      <c r="D11" s="6" t="s">
        <v>340</v>
      </c>
    </row>
    <row r="12" customFormat="false" ht="42" hidden="false" customHeight="true" outlineLevel="0" collapsed="false">
      <c r="A12" s="6" t="n">
        <v>8</v>
      </c>
      <c r="B12" s="6" t="s">
        <v>341</v>
      </c>
      <c r="C12" s="6" t="s">
        <v>342</v>
      </c>
      <c r="D12" s="6" t="s">
        <v>343</v>
      </c>
    </row>
    <row r="13" customFormat="false" ht="42" hidden="false" customHeight="true" outlineLevel="0" collapsed="false">
      <c r="A13" s="6" t="n">
        <v>9</v>
      </c>
      <c r="B13" s="6" t="s">
        <v>344</v>
      </c>
      <c r="C13" s="6" t="s">
        <v>345</v>
      </c>
      <c r="D13" s="6" t="s">
        <v>346</v>
      </c>
    </row>
    <row r="14" customFormat="false" ht="42" hidden="false" customHeight="true" outlineLevel="0" collapsed="false">
      <c r="A14" s="6" t="n">
        <v>10</v>
      </c>
      <c r="B14" s="6" t="s">
        <v>347</v>
      </c>
      <c r="C14" s="6" t="s">
        <v>348</v>
      </c>
      <c r="D14" s="6" t="s">
        <v>349</v>
      </c>
    </row>
    <row r="15" customFormat="false" ht="42" hidden="false" customHeight="true" outlineLevel="0" collapsed="false">
      <c r="A15" s="6" t="n">
        <v>11</v>
      </c>
      <c r="B15" s="6" t="s">
        <v>350</v>
      </c>
      <c r="C15" s="6" t="s">
        <v>332</v>
      </c>
      <c r="D15" s="6" t="s">
        <v>351</v>
      </c>
    </row>
    <row r="16" customFormat="false" ht="42" hidden="false" customHeight="true" outlineLevel="0" collapsed="false">
      <c r="A16" s="6" t="n">
        <v>12</v>
      </c>
      <c r="B16" s="6" t="s">
        <v>352</v>
      </c>
      <c r="C16" s="6" t="s">
        <v>353</v>
      </c>
      <c r="D16" s="6" t="s">
        <v>354</v>
      </c>
    </row>
    <row r="17" customFormat="false" ht="42" hidden="false" customHeight="true" outlineLevel="0" collapsed="false">
      <c r="A17" s="6" t="n">
        <v>13</v>
      </c>
      <c r="B17" s="6" t="s">
        <v>355</v>
      </c>
      <c r="C17" s="6" t="s">
        <v>332</v>
      </c>
      <c r="D17" s="6" t="s">
        <v>356</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9.7" hidden="false" customHeight="false" outlineLevel="0" collapsed="false">
      <c r="A1" s="1" t="s">
        <v>357</v>
      </c>
    </row>
    <row r="2" customFormat="false" ht="559.5" hidden="false" customHeight="true" outlineLevel="0" collapsed="false">
      <c r="A2" s="4" t="s">
        <v>358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2026-09-02T11:26:30Z</dcterms:created>
  <dc:creator>openpyxl</dc:creator>
  <dc:description/>
  <dc:language>en-US</dc:language>
  <cp:lastModifiedBy/>
  <dcterms:modified xsi:type="dcterms:W3CDTF">2026-09-02T11:26:34Z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
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Laboratorios" sheetId="2" state="visible" r:id="rId4"/>
    <sheet name="Patentes_por_Area" sheetId="3" state="visible" r:id="rId5"/>
    <sheet name="Watchlist_DeepTech" sheetId="4" state="visible" r:id="rId6"/>
    <sheet name="Foco_Geologia_Materiais_Tec" sheetId="5" state="visible" r:id="rId7"/>
    <sheet name="Formulario_Pesquisadores" sheetId="6" state="visible" r:id="rId8"/>
    <sheet name="Metodolog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<sst xmlns="http://schemas.openxmlformats.org/spreadsheetml/2006/main" count="654" uniqueCount="333">
  <si>
    <t xml:space="preserve">Mapeamento InovaLab RN — Laboratórios, Patentes e Potencial Deep Tech</t>
  </si>
  <si>
    <t xml:space="preserve">Atualização crítica do levantamento 2024 (respostas ao formulário InovaLab + prospecção de patentes UFRN)</t>
  </si>
  <si>
    <t xml:space="preserve">Como usar este arquivo</t>
  </si>
  <si>
    <t xml:space="preserve">1) Aba 'Laboratorios': base consolidada dos ~26 laboratórios/grupos de pesquisa da UFRN (respondentes do InovaLab 2024 + 1 achado via busca), com coluna de Potencial Deep Tech (ALTO / MÉDIO / BAIXO) e justificativa crítica, além do status de atualização em 2026 (confirmado via busca na web ou pendente de validação).
2) Aba 'Patentes_por_Area': resumo das 340 patentes mapeadas (base AGIR/UFRN, 03/09/2024) por área, com gráfico.
3) Aba 'Watchlist_DeepTech': filtro apenas dos laboratórios ALTO/MÉDIO potencial, priorizados para follow-up.
4) Aba 'Foco_Geologia_Materiais_Tec': recorte pedido pela FUNPEC — só laboratórios de Geologia, Materiais, Tecnologia e Energia, ordenados por potencial deep tech.
5) Aba 'Formulario_Pesquisadores': roteiro de perguntas para reenviar aos coordenadores (pronto para colar em Google Forms/Microsoft Forms) — objetivo é atualizar status de pesquisa, IP e tração de mercado.
6) Aba 'Metodologia': como a classificação de potencial foi feita e suas limitações.</t>
  </si>
  <si>
    <t xml:space="preserve">Fontes originais</t>
  </si>
  <si>
    <t xml:space="preserve">PROJETO_INOVALAB_RN (respostas ao formulário, mar-mai/2024) · Lista de Prospecção InovaLab (patentes UFRN por área) · Planilha 'UFRN patentes' (contagem por área, base 03/09/2024, https://agir.ufrn.br/vitrine/patentes)</t>
  </si>
  <si>
    <t xml:space="preserve">Nome do Laboratório</t>
  </si>
  <si>
    <t xml:space="preserve">Coordenador(a)</t>
  </si>
  <si>
    <t xml:space="preserve">Domínio</t>
  </si>
  <si>
    <t xml:space="preserve">Área de atuação</t>
  </si>
  <si>
    <t xml:space="preserve">Cidade</t>
  </si>
  <si>
    <t xml:space="preserve">Vínculo institucional</t>
  </si>
  <si>
    <t xml:space="preserve">Infraestrutura (resumo 2024)</t>
  </si>
  <si>
    <t xml:space="preserve">Diferenciais / IP declarada</t>
  </si>
  <si>
    <t xml:space="preserve">Certificação/Credenciamento</t>
  </si>
  <si>
    <t xml:space="preserve">Comercializa?</t>
  </si>
  <si>
    <t xml:space="preserve">Potencial Deep Tech</t>
  </si>
  <si>
    <t xml:space="preserve">Justificativa da avaliação (2026)</t>
  </si>
  <si>
    <t xml:space="preserve">Status de atualização</t>
  </si>
  <si>
    <t xml:space="preserve">Fonte da atualização</t>
  </si>
  <si>
    <t xml:space="preserve">InovAI Lab (agora integrado ao LANCE)</t>
  </si>
  <si>
    <t xml:space="preserve">Marcelo A. C. Fernandes</t>
  </si>
  <si>
    <t xml:space="preserve">Tecnologia (IA)</t>
  </si>
  <si>
    <t xml:space="preserve">Inteligência Artificial aplicada (saúde, genômica, telecom, robótica)</t>
  </si>
  <si>
    <t xml:space="preserve">Natal</t>
  </si>
  <si>
    <t xml:space="preserve">UFRN - IMD/nPITI</t>
  </si>
  <si>
    <t xml:space="preserve">Servidores de alto desempenho, clusters em nuvem, workstations, LANCE (320 m², investimento ~R$18 mi via Lei da Informática)</t>
  </si>
  <si>
    <t xml:space="preserve">Grupos de pesquisa consolidados: AiGenomics, AiPreterm (predição de parto prematuro), RESRC; parceria com Lenovo Brasil</t>
  </si>
  <si>
    <t xml:space="preserve">FINEP</t>
  </si>
  <si>
    <t xml:space="preserve">Não (ainda)</t>
  </si>
  <si>
    <t xml:space="preserve">ALTO</t>
  </si>
  <si>
    <t xml:space="preserve">Confirmado ativo em 2025-26; passou a integrar o novo centro LANCE (IA, imersividade, telecom); linhas AiGenomics/AiPreterm com aplicação clínica direta; forte histórico de publicação e parcerias internacionais do coordenador (Harvard, King's College).</t>
  </si>
  <si>
    <t xml:space="preserve">Ativo e expandido (LANCE)</t>
  </si>
  <si>
    <t xml:space="preserve">lance.ufrn.br/laboratorios; Tribuna do Norte 2024</t>
  </si>
  <si>
    <t xml:space="preserve">Laboratório de Eletroquímica Ambiental e Aplicada (LEAA)</t>
  </si>
  <si>
    <t xml:space="preserve">Carlos Alberto Martinez-Huitle</t>
  </si>
  <si>
    <t xml:space="preserve">Materiais/Energia</t>
  </si>
  <si>
    <t xml:space="preserve">Hidrogênio verde, eletroquímica ambiental, valorização de resíduos</t>
  </si>
  <si>
    <t xml:space="preserve">UFRN - NUPPRAR/NUP-ER</t>
  </si>
  <si>
    <t xml:space="preserve">Reatores eletroquímicos, eletrolisadores, laboratório multiusuário</t>
  </si>
  <si>
    <t xml:space="preserve">Patente de sistema de geração de hipoclorito de sódio combinado à produção de H2 verde; sedia eventos internacionais (39º ISE Topical Meeting, Natal/2025)</t>
  </si>
  <si>
    <t xml:space="preserve">UFRN, NUPPRAR</t>
  </si>
  <si>
    <t xml:space="preserve">Sim (multiusuário)</t>
  </si>
  <si>
    <t xml:space="preserve">Único laboratório do mapeamento com patente ativa e recente diretamente ligada a uma rota energética estratégica (H2 verde); coordenador é Fellow da Royal Society of Chemistry e organizou o principal evento internacional de eletroquímica no RN em 2025 — forte sinal de tração científica e potencial de escala industrial (indústria salineira do RN).</t>
  </si>
  <si>
    <t xml:space="preserve">Ativo, em expansão internacional</t>
  </si>
  <si>
    <t xml:space="preserve">leaa.ccet.ufrn.br; ResearchGate; SIGAA UFRN</t>
  </si>
  <si>
    <t xml:space="preserve">Laboratório de Neurodinâmica (Instituto do Cérebro)</t>
  </si>
  <si>
    <t xml:space="preserve">Richardson Naves Leão</t>
  </si>
  <si>
    <t xml:space="preserve">Saúde/Tecnologia</t>
  </si>
  <si>
    <t xml:space="preserve">Neurociência aplicada / neurotecnologia</t>
  </si>
  <si>
    <t xml:space="preserve">UFRN - Instituto do Cérebro</t>
  </si>
  <si>
    <t xml:space="preserve">Sistemas de EEG/ECG, polissonografia tipo I e IV, biossinais</t>
  </si>
  <si>
    <t xml:space="preserve">Spin-off NeuroMate (monitoramento neurológico neonatal de baixo custo) — 1º lugar em desafio nacional de inovação (2025); robô de neurocirurgia estereotáxica com pedido de patente depositado (dez/2024)</t>
  </si>
  <si>
    <t xml:space="preserve">Não informado (2024)</t>
  </si>
  <si>
    <t xml:space="preserve">Não (em 2024)</t>
  </si>
  <si>
    <t xml:space="preserve">Evolução clara de pesquisa básica para produto: pedido de patente de hardware (robô estereotáxico) + startup NeuroMate premiada em 2025 + parceria clínica com a Maternidade Escola Januário Cicco. É o caso mais nítido de trajetória 'lab -&gt; deep tech -&gt; startup' do conjunto.</t>
  </si>
  <si>
    <t xml:space="preserve">Ativo, com spin-off em validação clínica</t>
  </si>
  <si>
    <t xml:space="preserve">Tribuna do Norte 02/2025; The Conversation; Agora RN 10/2025</t>
  </si>
  <si>
    <t xml:space="preserve">Laboratório de Biologia Molecular e Genômica (LBMG)</t>
  </si>
  <si>
    <t xml:space="preserve">Lucymara Fassarella Agnez-Lima</t>
  </si>
  <si>
    <t xml:space="preserve">Saúde/Biotecnologia</t>
  </si>
  <si>
    <t xml:space="preserve">Genética, Genômica, Bioinformática, Microbiologia</t>
  </si>
  <si>
    <t xml:space="preserve">UFRN - Depto. Biologia Celular e Genética/CB</t>
  </si>
  <si>
    <t xml:space="preserve">Sequenciamento de DNA/RNA, análise de expressão gênica</t>
  </si>
  <si>
    <t xml:space="preserve">Coordenadora é bolsista de produtividade 1A do CNPq; programas RENORBIO (conceito 6) e Bioinformática; presta serviço via FUNPEC</t>
  </si>
  <si>
    <t xml:space="preserve">Cadastrado na PNIPE</t>
  </si>
  <si>
    <t xml:space="preserve">Sim (serviço via FUNPEC)</t>
  </si>
  <si>
    <t xml:space="preserve">MEDIO</t>
  </si>
  <si>
    <t xml:space="preserve">Excelência científica consolidada (1A CNPq) e infraestrutura de sequenciamento com modelo de prestação de serviço já rodando — mas o mapeamento de 2024 não relata propriedade intelectual própria; potencial deep tech depende de encapsular achados em produto/processo patenteável (a confirmar via formulário).</t>
  </si>
  <si>
    <t xml:space="preserve">A validar via formulário</t>
  </si>
  <si>
    <t xml:space="preserve">Resposta ao mapeamento InovaLab 2024</t>
  </si>
  <si>
    <t xml:space="preserve">Grupo de Nanoestruturas Magnéticas e Semicondutoras (GNMS)</t>
  </si>
  <si>
    <t xml:space="preserve">Marcio Assolin Correa</t>
  </si>
  <si>
    <t xml:space="preserve">Materiais</t>
  </si>
  <si>
    <t xml:space="preserve">Materiais nanoestruturados, caracterização magnética/elétrica</t>
  </si>
  <si>
    <t xml:space="preserve">UFRN - Depto. de Física</t>
  </si>
  <si>
    <t xml:space="preserve">Magnetômetro de amostra vibrante, sistemas de curvas IxV, RPE</t>
  </si>
  <si>
    <t xml:space="preserve">Infraestrutura multiusuária UFRN; deposição de nanocamadas para dureza/antimicrobiano</t>
  </si>
  <si>
    <t xml:space="preserve">Sistema multiusuário UFRN</t>
  </si>
  <si>
    <t xml:space="preserve">Não</t>
  </si>
  <si>
    <t xml:space="preserve">Forte infraestrutura de caracterização compartilhada com o grupo de Propriedades Físicas dos Minerais, que concentra várias patentes de materiais magnéticos/nanoestruturados (ex.: nanoestruturas de NdxCoy, hexaferritas). Potencial deep tech real em materiais avançados, mas depende de rota de transferência tecnológica ainda não formalizada em 2024.</t>
  </si>
  <si>
    <t xml:space="preserve">Propriedades Físicas dos Minerais</t>
  </si>
  <si>
    <t xml:space="preserve">José Humberto de Araújo</t>
  </si>
  <si>
    <t xml:space="preserve">Geologia/Materiais</t>
  </si>
  <si>
    <t xml:space="preserve">Materiais magnéticos/nanoestruturados a partir de minerais</t>
  </si>
  <si>
    <t xml:space="preserve">Difratômetro de raios-X, magnetômetro de amostra vibrante, moinhos, fornos</t>
  </si>
  <si>
    <t xml:space="preserve">6 pedidos de patente listados na própria resposta (2004-2019): carbeto de molibdênio nanoestruturado, nanoestruturas magnéticas de NdCo, dupla-perovskita, sistemas de vetorização magnética de radiofármacos e antimicrobianos</t>
  </si>
  <si>
    <t xml:space="preserve">UFRN</t>
  </si>
  <si>
    <t xml:space="preserve">É o laboratório do mapeamento com histórico documentado mais robusto de depósito de patentes (6 pedidos citados na própria resposta, entre eles vetorização magnética de fármacos para dor óssea e antimicrobianos). Base técnica clara para deep tech em nanomateriais/saúde, mas patentes mais antigas (2004-2019) — recomenda-se checar status atual no INPI/AGIR.</t>
  </si>
  <si>
    <t xml:space="preserve">Coordenador se aposentou como Titular em jul/2023, mas segue ativo em pesquisa e publicação (ex.: Ceramics International, nov/2025, sobre nanocompósitos NiFe2O4/NiFe2) — checar quem assumiu a coordenação do laboratório</t>
  </si>
  <si>
    <t xml:space="preserve">Escavador/SIGAA 2025; ScienceDirect (perfil do autor, publicações até nov/2025)</t>
  </si>
  <si>
    <t xml:space="preserve">Laboratório de Química Farmacêutica Computacional</t>
  </si>
  <si>
    <t xml:space="preserve">Euzébio Guimarães Barbosa</t>
  </si>
  <si>
    <t xml:space="preserve">Saúde</t>
  </si>
  <si>
    <t xml:space="preserve">Descoberta de fármacos (in silico)</t>
  </si>
  <si>
    <t xml:space="preserve">UFRN - Depto. de Farmácia/CCS</t>
  </si>
  <si>
    <t xml:space="preserve">Workstations de alto processamento (super processador)</t>
  </si>
  <si>
    <t xml:space="preserve">Triagem virtual, target fishing e previsão de toxicologia; foco em produtos naturais da Caatinga</t>
  </si>
  <si>
    <t xml:space="preserve">Metodologia de triagem virtual é ativo típico de deep tech farmacêutica (redução de custo/tempo de descoberta), mas o laboratório reporta baixo custo de execução como diferencial, sem menção a pipeline próprio de moléculas patenteadas — recomenda-se levantar via formulário quais alvos/moléculas já avançaram.</t>
  </si>
  <si>
    <t xml:space="preserve">Laboratório de Automação em Petróleo (LAUT)</t>
  </si>
  <si>
    <t xml:space="preserve">André Laurindo Maitelli</t>
  </si>
  <si>
    <t xml:space="preserve">Tecnologia/Energia</t>
  </si>
  <si>
    <t xml:space="preserve">Automação industrial aplicada a energia/petróleo</t>
  </si>
  <si>
    <t xml:space="preserve">UFRN - CT/DCA</t>
  </si>
  <si>
    <t xml:space="preserve">620 m², plantas didáticas industriais, sistemas supervisórios</t>
  </si>
  <si>
    <t xml:space="preserve">Softwares próprios (sintonizador de controladores, controle avançado, simuladores de métodos de elevação artificial); acesso via FUNPEC; certificação ANP/CATI</t>
  </si>
  <si>
    <t xml:space="preserve">ANP, CATI</t>
  </si>
  <si>
    <t xml:space="preserve">Sim (via FUNPEC)</t>
  </si>
  <si>
    <t xml:space="preserve">Modelo de negócio já validado (prestação de serviço via FUNPEC, certificação ANP) e software proprietário — bom candidato a deep tech industrial B2B, sobretudo para automação de poços; falta evidência de patenteamento formal do software.</t>
  </si>
  <si>
    <t xml:space="preserve">Laboratório de Proteção e Qualidade de Energia (LPQE)</t>
  </si>
  <si>
    <t xml:space="preserve">Marcos Antonio Dias de Almeida</t>
  </si>
  <si>
    <t xml:space="preserve">Proteção e automação de sistemas elétricos de potência</t>
  </si>
  <si>
    <t xml:space="preserve">UFRN - DEE/CT</t>
  </si>
  <si>
    <t xml:space="preserve">Simulador Digital em Tempo Real (RTDS), caixa de teste de relés</t>
  </si>
  <si>
    <t xml:space="preserve">Laboratório novo (concluído em 2024); cadastrado no SIGAA e na PNIPE</t>
  </si>
  <si>
    <t xml:space="preserve">PNIPE</t>
  </si>
  <si>
    <t xml:space="preserve">Ainda não (convênios em avaliação via FUNPEC)</t>
  </si>
  <si>
    <t xml:space="preserve">Infraestrutura de simulação em tempo real (RTDS) é ativo de ponta para o setor elétrico (geração distribuída, proteção de subestações) — potencial deep tech relevante para a transição energética do RN, mas laboratório muito recente, sem histórico de tração.</t>
  </si>
  <si>
    <t xml:space="preserve">Laboratório de Anfíbios e Répteis</t>
  </si>
  <si>
    <t xml:space="preserve">Adrian Antonio Garda</t>
  </si>
  <si>
    <t xml:space="preserve">Biodiversidade</t>
  </si>
  <si>
    <t xml:space="preserve">Fauna, impacto ambiental, biodiversidade</t>
  </si>
  <si>
    <t xml:space="preserve">Laboratório de extração/amplificação de DNA, equipamentos de campo</t>
  </si>
  <si>
    <t xml:space="preserve">Coordenador bolsista de produtividade 1B do CNPq; 25+ anos de experiência</t>
  </si>
  <si>
    <t xml:space="preserve">ICMBio, CEUA</t>
  </si>
  <si>
    <t xml:space="preserve">Sim (relatórios técnicos)</t>
  </si>
  <si>
    <t xml:space="preserve">BAIXO</t>
  </si>
  <si>
    <t xml:space="preserve">Excelência científica em biodiversidade e prestação de serviços de EIA-RIMA consolidada, mas modelo é de consultoria ambiental, não de tecnologia proprietária escalável.</t>
  </si>
  <si>
    <t xml:space="preserve">Laboratório de análise de sementes (EAJ)</t>
  </si>
  <si>
    <t xml:space="preserve">Marcio Dias Pereira</t>
  </si>
  <si>
    <t xml:space="preserve">Agtech</t>
  </si>
  <si>
    <t xml:space="preserve">Tecnologia de sementes, análise digital de imagens</t>
  </si>
  <si>
    <t xml:space="preserve">Macaíba</t>
  </si>
  <si>
    <t xml:space="preserve">UFRN - Escola Agrícola de Jundiaí</t>
  </si>
  <si>
    <t xml:space="preserve">Equipamentos padronizados MAPA para análise de sementes</t>
  </si>
  <si>
    <t xml:space="preserve">Um dos poucos laboratórios do Brasil a desenvolver softwares próprios de análise de imagem de sementes, com produtos registrados no INPI</t>
  </si>
  <si>
    <t xml:space="preserve">MAPA</t>
  </si>
  <si>
    <t xml:space="preserve">Ainda não formalizado</t>
  </si>
  <si>
    <t xml:space="preserve">Combinação rara de agronomia + visão computacional com produtos já registrados no INPI (segundo a própria resposta) — perfil clássico de agtech/deep tech; recomenda-se checar no formulário o status atual dos registros e se houve avanço para comercialização.</t>
  </si>
  <si>
    <t xml:space="preserve">A validar (checar registros INPI citados)</t>
  </si>
  <si>
    <t xml:space="preserve">Grupo de Pesquisa em Quimiometria e Química Biológica</t>
  </si>
  <si>
    <t xml:space="preserve">Kássio Michell Gomes de Lima</t>
  </si>
  <si>
    <t xml:space="preserve">Saúde/Tecnologia analítica</t>
  </si>
  <si>
    <t xml:space="preserve">Metodologias analíticas não-destrutivas, rastreamento de doenças</t>
  </si>
  <si>
    <t xml:space="preserve">UFRN - Instituto de Química</t>
  </si>
  <si>
    <t xml:space="preserve">Espectrômetros IV-próximo, UV-VIS, computadores para modelos multivariados</t>
  </si>
  <si>
    <t xml:space="preserve">Modelos multivariados para diagnóstico rápido e não-destrutivo</t>
  </si>
  <si>
    <t xml:space="preserve">Diagnóstico rápido não-destrutivo via quimiometria é tecnologia com forte apelo comercial em saúde e alimentos; falta evidência de patente ou spin-off no mapeamento de 2024 — bom alvo para o formulário de acompanhamento.</t>
  </si>
  <si>
    <t xml:space="preserve">Grupo de Moscas-das-Frutas (LABMOSCA)</t>
  </si>
  <si>
    <t xml:space="preserve">João Maria Gomes Alencar de Souza</t>
  </si>
  <si>
    <t xml:space="preserve">Agro</t>
  </si>
  <si>
    <t xml:space="preserve">Biologia populacional de pragas agrícolas</t>
  </si>
  <si>
    <t xml:space="preserve">UFRN - Depto. Biologia Celular e Genética</t>
  </si>
  <si>
    <t xml:space="preserve">Espaço de criação/monitoramento populacional</t>
  </si>
  <si>
    <t xml:space="preserve">Monitoramento populacional para pequenos produtores de frutas</t>
  </si>
  <si>
    <t xml:space="preserve">Serviço técnico relevante para fruticultura regional, mas sem diferenciação tecnológica proprietária declarada.</t>
  </si>
  <si>
    <t xml:space="preserve">Laboratório de Bioprocessos</t>
  </si>
  <si>
    <t xml:space="preserve">Marcia Regina da Silva Pedrini</t>
  </si>
  <si>
    <t xml:space="preserve">Alimentos</t>
  </si>
  <si>
    <t xml:space="preserve">Engenharia de alimentos, novos produtos</t>
  </si>
  <si>
    <t xml:space="preserve">UFRN - LEA/DEQ/CT</t>
  </si>
  <si>
    <t xml:space="preserve">Laboratório de ensino e pesquisa</t>
  </si>
  <si>
    <t xml:space="preserve">Pesquisa em desenvolvimento de novos produtos alimentícios</t>
  </si>
  <si>
    <t xml:space="preserve">Perfil essencialmente de ensino/pesquisa básica em 2024, sem produtos ou patentes declaradas.</t>
  </si>
  <si>
    <t xml:space="preserve">Laboratório de Ecologia da Restauração</t>
  </si>
  <si>
    <t xml:space="preserve">Gislene Ganade</t>
  </si>
  <si>
    <t xml:space="preserve">Meio ambiente</t>
  </si>
  <si>
    <t xml:space="preserve">Restauração ecológica da Caatinga</t>
  </si>
  <si>
    <t xml:space="preserve">UFRN - Depto. de Ecologia/CB</t>
  </si>
  <si>
    <t xml:space="preserve">CIRCA (Centro de Treinamento em Restauração), casa de vegetação na FLONA de Açu</t>
  </si>
  <si>
    <t xml:space="preserve">Prêmio ONU DryLand Champions; metodologia própria de restauração da Caatinga de uso livre</t>
  </si>
  <si>
    <t xml:space="preserve">Não (uso livre dos métodos)</t>
  </si>
  <si>
    <t xml:space="preserve">Metodologia reconhecida internacionalmente (prêmio ONU) com potencial de licenciamento/consultoria para restauração ambiental em larga escala (créditos de carbono, recuperação de áreas degradadas) — atualmente disponibilizada de uso livre, o que limita apropriação comercial direta, mas é ativo estratégico para ESG/bioeconomia.</t>
  </si>
  <si>
    <t xml:space="preserve">Laboratório de análise de produtos das abelhas</t>
  </si>
  <si>
    <t xml:space="preserve">Gunthineia Alves de Lira</t>
  </si>
  <si>
    <t xml:space="preserve">Agroindústria</t>
  </si>
  <si>
    <t xml:space="preserve">Apicultura, bioprodutos (mel, própolis, cera)</t>
  </si>
  <si>
    <t xml:space="preserve">Unidade de processamento e envase de mel</t>
  </si>
  <si>
    <t xml:space="preserve">Certificação de produtos de origem animal em andamento; portfólio (mel, pólen, própolis, cera, kombucha, hidromel, cosméticos)</t>
  </si>
  <si>
    <t xml:space="preserve">Em andamento (produtos de origem animal)</t>
  </si>
  <si>
    <t xml:space="preserve">Não formalmente</t>
  </si>
  <si>
    <t xml:space="preserve">Perfil de bioeconomia/agroindústria com produtos definidos, mas escala e diferenciação tecnológica ainda limitadas para classificar como deep tech — mais próximo de inovação incremental de processo.</t>
  </si>
  <si>
    <t xml:space="preserve">Smart Metropolis Laboratory</t>
  </si>
  <si>
    <t xml:space="preserve">Frederico Lopes</t>
  </si>
  <si>
    <t xml:space="preserve">Tecnologia</t>
  </si>
  <si>
    <t xml:space="preserve">Engenharia de software, sistemas distribuídos, cidades inteligentes</t>
  </si>
  <si>
    <t xml:space="preserve">UFRN - IMD</t>
  </si>
  <si>
    <t xml:space="preserve">Servidores de aplicação e IA, computadores</t>
  </si>
  <si>
    <t xml:space="preserve">10+ anos de soluções para cidades inteligentes; parcerias municipais/estaduais/federais; especializado na plataforma FIWARE</t>
  </si>
  <si>
    <t xml:space="preserve">Não (acessível via parcerias)</t>
  </si>
  <si>
    <t xml:space="preserve">Trajetória consolidada em cidades inteligentes com padrão internacional (FIWARE) e parcerias com governo — bom candidato a deep tech de govtech/urbantech, mas modelo de negócio ainda via convênio, não produto comercial.</t>
  </si>
  <si>
    <t xml:space="preserve">LABPLAN / Observatório das Metrópoles - Núcleo Natal</t>
  </si>
  <si>
    <t xml:space="preserve">Maria do Livramento Miranda Clementino</t>
  </si>
  <si>
    <t xml:space="preserve">Ciências sociais/Urbanismo</t>
  </si>
  <si>
    <t xml:space="preserve">Planejamento urbano e regional, economia urbana</t>
  </si>
  <si>
    <t xml:space="preserve">UFRN - IPP</t>
  </si>
  <si>
    <t xml:space="preserve">Bancada própria, sala de reunião/videoconferência</t>
  </si>
  <si>
    <t xml:space="preserve">INCT do CNPq; lidera rede nacional com Lepur (UFABC) e outros núcleos</t>
  </si>
  <si>
    <t xml:space="preserve">INCT/CNPq</t>
  </si>
  <si>
    <t xml:space="preserve">Referência nacional em ciências urbanas, mas natureza é de pesquisa aplicada em políticas públicas, não de tecnologia proprietária/deep tech no sentido de produto.</t>
  </si>
  <si>
    <t xml:space="preserve">Laboratório de Eletrotécnica</t>
  </si>
  <si>
    <t xml:space="preserve">Alexandre Magnus Fernandes Guimarães</t>
  </si>
  <si>
    <t xml:space="preserve">Circuitos elétricos/eletrônicos, automação</t>
  </si>
  <si>
    <t xml:space="preserve">UFRN - Escola de Ciências e Tecnologia</t>
  </si>
  <si>
    <t xml:space="preserve">Motores elétricos, placas didáticas para bancadas</t>
  </si>
  <si>
    <t xml:space="preserve">Suporte a iniciação científica e pós-graduação</t>
  </si>
  <si>
    <t xml:space="preserve">Perfil predominantemente didático (graduação/BCT); sem evidência de tecnologia proprietária.</t>
  </si>
  <si>
    <t xml:space="preserve">Laboratório de Collembola</t>
  </si>
  <si>
    <t xml:space="preserve">Bruno Cavalcante Bellini</t>
  </si>
  <si>
    <t xml:space="preserve">Taxonomia/ecologia de Collembola (fauna edáfica)</t>
  </si>
  <si>
    <t xml:space="preserve">UFRN - DBEZ/CB</t>
  </si>
  <si>
    <t xml:space="preserve">Coleção científica, microscópios, estereomicroscópios</t>
  </si>
  <si>
    <t xml:space="preserve">Potencial de aplicação em manejo agronômico de solos</t>
  </si>
  <si>
    <t xml:space="preserve">Pesquisa taxonômica de base essencial para bioindicadores de solo, mas sem rota tecnológica declarada para produto/processo.</t>
  </si>
  <si>
    <t xml:space="preserve">Laboratório de Herpetologia (DBEZ)</t>
  </si>
  <si>
    <t xml:space="preserve">Eliza Maria Xavier Freire</t>
  </si>
  <si>
    <t xml:space="preserve">Conservação e identificação de herpetofauna</t>
  </si>
  <si>
    <t xml:space="preserve">Estereomicroscópios, GPS, freezers, biblioteca técnica</t>
  </si>
  <si>
    <t xml:space="preserve">Coordenadora é presidente da Sociedade Brasileira de Herpetologia; parceria ICMBio/RAN (PAN)</t>
  </si>
  <si>
    <t xml:space="preserve">Referência científica e institucional em conservação, com prestação de laudos técnicos, mas fora do escopo de deep tech propriamente dito.</t>
  </si>
  <si>
    <t xml:space="preserve">Laboratório de Bioacústica (UFRN)</t>
  </si>
  <si>
    <t xml:space="preserve">Renata S. Sousa-Lima</t>
  </si>
  <si>
    <t xml:space="preserve">Meio ambiente/Tecnologia</t>
  </si>
  <si>
    <t xml:space="preserve">Bioacústica, ecoacústica, monitoramento ambiental</t>
  </si>
  <si>
    <t xml:space="preserve">Sistemas de gravação/análise de áudio aquático e terrestre</t>
  </si>
  <si>
    <t xml:space="preserve">Laboratório pioneiro no país na área</t>
  </si>
  <si>
    <t xml:space="preserve">Cadastro ANP</t>
  </si>
  <si>
    <t xml:space="preserve">Pioneirismo nacional em ecoacústica cria potencial para monitoramento ambiental automatizado (IA + áudio) com aplicações em ESG e licenciamento ambiental — combinável com IA do InovAI Lab/Smart Metropolis para virar produto de monitoramento contínuo.</t>
  </si>
  <si>
    <t xml:space="preserve">Laboratório de Neurobiologia e Ritmicidade Biológica (LNRB)</t>
  </si>
  <si>
    <t xml:space="preserve">John Fontenele Araujo</t>
  </si>
  <si>
    <t xml:space="preserve">Neurociência (cronobiologia, sono) / tecnologia para saúde</t>
  </si>
  <si>
    <t xml:space="preserve">UFRN - Instituto Santos Dumont</t>
  </si>
  <si>
    <t xml:space="preserve">Sistemas de registro/análise de biossinais (EEG, ECG), polissonografia tipo I e IV</t>
  </si>
  <si>
    <t xml:space="preserve">Desenvolve sistemas de home care e monitoramento cardíaco sem conexões físicas para pessoas com necessidades especiais</t>
  </si>
  <si>
    <t xml:space="preserve">Infraestrutura de ponta em polissonografia e biossinais com aplicação clara em dispositivos médicos vestíveis (wearables de monitoramento remoto) — tecnologia habilitadora relevante, mas o próprio laboratório se descreve como de pesquisa básica com pouca experiência clínica ainda; falta evidência de IP formalizada.</t>
  </si>
  <si>
    <t xml:space="preserve">Resposta ao mapeamento InovaLab 2024 — laboratório omitido na 1ª versão deste relatório, incluído nesta atualização</t>
  </si>
  <si>
    <t xml:space="preserve">LAPIs - Laboratório e Atelier de Projetos Integrados</t>
  </si>
  <si>
    <t xml:space="preserve">Gleice Elali</t>
  </si>
  <si>
    <t xml:space="preserve">Tecnologia (arquitetura)</t>
  </si>
  <si>
    <t xml:space="preserve">Arquitetura, construção civil, planejamento</t>
  </si>
  <si>
    <t xml:space="preserve">UFRN - Centro de Tecnologia</t>
  </si>
  <si>
    <t xml:space="preserve">Computadores para projeto arquitetônico</t>
  </si>
  <si>
    <t xml:space="preserve">Capacidade crítica instalada para consultoria em projetos de arquitetura</t>
  </si>
  <si>
    <t xml:space="preserve">Assessoria pontual (a partir da participação de professores)</t>
  </si>
  <si>
    <t xml:space="preserve">Perfil de assessoria/consultoria acadêmica em projetos de arquitetura, sem tecnologia proprietária ou produto escalável identificado.</t>
  </si>
  <si>
    <t xml:space="preserve">Laboratório de Energias Renováveis (UFRN)</t>
  </si>
  <si>
    <t xml:space="preserve">Contato institucional (reitoria) em 2024 — atualizado para Grupo CREATION / Mario González em 2025-26</t>
  </si>
  <si>
    <t xml:space="preserve">Energia/Tecnologia</t>
  </si>
  <si>
    <t xml:space="preserve">Energias renováveis: eólica offshore, hidrogênio verde, Power-to-X</t>
  </si>
  <si>
    <t xml:space="preserve">UFRN - Centro de Tecnologia (CTEC)</t>
  </si>
  <si>
    <t xml:space="preserve">Em 2024: computadores, motor diesel, aerogerador, painel fotovoltaico, 45 m² (sala 416/CTEC). Em 2025-26: grupo de pesquisa CREATION com projetos de eólica offshore e Power-to-X</t>
  </si>
  <si>
    <t xml:space="preserve">Grupo CREATION organiza o Brazil Offshore Wind &amp; Power-to-X (BOWPX) — 3ª edição em 2025, 800+ participantes; RN é polo nacional de energia eólica ('Disneylândia dos ventos')</t>
  </si>
  <si>
    <t xml:space="preserve">Sim (avaliação de custo e impacto ambiental, prestação de serviço)</t>
  </si>
  <si>
    <t xml:space="preserve">A resposta original de 2024 subestima este eixo: o laboratório descrito de forma genérica evoluiu (ou convive com) um grupo de pesquisa robusto — CREATION — que hoje lidera a discussão de eólica offshore e Power-to-X (H2 verde, e-metanol, aço verde) no RN, com evento internacional próprio em 2025. Combinado ao LEAA (hidrogênio verde), forma um cluster energético de peso na UFRN. Recomenda-se tratar como um só eixo estratégico de energia/materiais verdes.</t>
  </si>
  <si>
    <t xml:space="preserve">Atualizado via busca — recomenda-se confirmar vínculo institucional exato entre o laboratório de 2024 e o grupo CREATION</t>
  </si>
  <si>
    <t xml:space="preserve">Tribuna do Norte 05/2025 (entrevista Mario González); resposta ao mapeamento InovaLab 2024</t>
  </si>
  <si>
    <t xml:space="preserve">Grupo de Pesquisa Materiais e Tecnologia dos Pós (não respondeu ao InovaLab 2024)</t>
  </si>
  <si>
    <t xml:space="preserve">Uilame Umbelino Gomes</t>
  </si>
  <si>
    <t xml:space="preserve">Geologia/Materiais/Tecnologia</t>
  </si>
  <si>
    <t xml:space="preserve">Metalurgia do pó, cerâmicas técnicas, metal duro, materiais nanoestruturados, sensores</t>
  </si>
  <si>
    <t xml:space="preserve">UFRN - PPGCEM (Ciência e Engenharia de Materiais)</t>
  </si>
  <si>
    <t xml:space="preserve">Não mapeado pelo InovaLab 2024 (grupo não respondeu ao formulário)</t>
  </si>
  <si>
    <t xml:space="preserve">Segundo reportagem institucional da UFRN, é o pesquisador com mais concessões de patente dentro da universidade; parcerias ativas de cotitularidade com UENF e UFPB; grupo atuante desde a década de 1980; pesquisador 1B do CNPq</t>
  </si>
  <si>
    <t xml:space="preserve">Não informado</t>
  </si>
  <si>
    <t xml:space="preserve">ACHADO CRÍTICO desta atualização: este grupo não está no mapeamento InovaLab 2024 (não respondeu ao formulário), mas é, segundo a própria Agência de Inovação da UFRN (AGIR), o pesquisador com mais patentes concedidas na instituição — com depósitos recentes (sensor óptico à base de volframita em parceria com UFPB, materiais de corte com metal duro/diamante sinterizado em cotitularidade com UENF). É provavelmente o ativo de maior potencial deep tech em materiais de toda a UFRN, e ficou fora do radar do InovaLab por não ter respondido à pesquisa original — recomenda-se contato direto e prioritário da FUNPEC.</t>
  </si>
  <si>
    <t xml:space="preserve">Identificado via busca (não estava no mapeamento original) — priorizar contato direto</t>
  </si>
  <si>
    <t xml:space="preserve">ct.ufrn.br (2022, 2024); AGIR/UFRN vitrine de patentes; SIGAA/Escavador 2025</t>
  </si>
  <si>
    <t xml:space="preserve">Resumo de patentes UFRN por área (base 03/09/2024 — AGIR/UFRN)</t>
  </si>
  <si>
    <t xml:space="preserve">Área</t>
  </si>
  <si>
    <t xml:space="preserve">Quantidade</t>
  </si>
  <si>
    <t xml:space="preserve">% do total</t>
  </si>
  <si>
    <t xml:space="preserve">Nota</t>
  </si>
  <si>
    <t xml:space="preserve">Energias</t>
  </si>
  <si>
    <t xml:space="preserve">Indústrias (demais tecnologias industriais)</t>
  </si>
  <si>
    <t xml:space="preserve">TOTAL</t>
  </si>
  <si>
    <t xml:space="preserve">Fonte: 'Cópia de UFRN patentes.xlsx' (PDF fornecido) — vitrine AGIR/UFRN</t>
  </si>
  <si>
    <t xml:space="preserve">Watchlist — Laboratórios com potencial ALTO ou MÉDIO para Deep Tech</t>
  </si>
  <si>
    <t xml:space="preserve">Prioridade</t>
  </si>
  <si>
    <t xml:space="preserve">Potencial</t>
  </si>
  <si>
    <t xml:space="preserve">Próximo passo sugerido</t>
  </si>
  <si>
    <t xml:space="preserve">Contato para follow-up</t>
  </si>
  <si>
    <t xml:space="preserve">Enviar formulário de atualização + iniciar due diligence de IP com FUNPEC/NIT (checar status INPI, titularidade, TRL) para avaliar depósito internacional (PCT) ou spin-off.</t>
  </si>
  <si>
    <t xml:space="preserve">(preencher e-mail/telefone atualizado)</t>
  </si>
  <si>
    <t xml:space="preserve">Enviar formulário de atualização para identificar se houve avanço em IP/tração desde 2024; priorizar visita técnica se resposta indicar novidade patenteável.</t>
  </si>
  <si>
    <t xml:space="preserve">Distribuição geral (26 laboratórios UFRN mapeados)</t>
  </si>
  <si>
    <t xml:space="preserve">Recorte solicitado: laboratórios de Geologia, Materiais e Tecnologia</t>
  </si>
  <si>
    <t xml:space="preserve">15 dos 26 laboratórios UFRN mapeados tocam em Geologia, Materiais, Tecnologia ou Energia. Ordenados por potencial deep tech.</t>
  </si>
  <si>
    <t xml:space="preserve">Laboratório</t>
  </si>
  <si>
    <t xml:space="preserve">Por que é (ou não é) viável</t>
  </si>
  <si>
    <t xml:space="preserve">Status 2026</t>
  </si>
  <si>
    <t xml:space="preserve">Nota: 'Grupo de Pesquisa Materiais e Tecnologia dos Pós' NÃO respondeu ao formulário InovaLab 2024 — foi identificado nesta atualização via busca na web como, segundo a própria AGIR/UFRN, o pesquisador com mais patentes concedidas na universidade. Recomenda-se contato direto prioritário, fora do fluxo padrão do formulário.</t>
  </si>
  <si>
    <t xml:space="preserve">Roteiro do Formulário de Atualização — Pesquisas em Andamento (para coordenadores de laboratório)</t>
  </si>
  <si>
    <t xml:space="preserve">Copie estas perguntas para uma ferramenta de formulário (Google Forms / Microsoft Forms / SEI) e envie aos coordenadores listados na aba Laboratorios. Campos marcados com * são obrigatórios.</t>
  </si>
  <si>
    <t xml:space="preserve">Nº</t>
  </si>
  <si>
    <t xml:space="preserve">Pergunta</t>
  </si>
  <si>
    <t xml:space="preserve">Tipo de resposta</t>
  </si>
  <si>
    <t xml:space="preserve">Objetivo (por que perguntamos)</t>
  </si>
  <si>
    <t xml:space="preserve">Nome do laboratório/grupo de pesquisa*</t>
  </si>
  <si>
    <t xml:space="preserve">Texto curto</t>
  </si>
  <si>
    <t xml:space="preserve">Vincular à base de 2024</t>
  </si>
  <si>
    <t xml:space="preserve">Coordenador(a) responsável e e-mail atualizado*</t>
  </si>
  <si>
    <t xml:space="preserve">Atualizar cadastro de contato</t>
  </si>
  <si>
    <t xml:space="preserve">As informações de infraestrutura enviadas em 2024 continuam válidas?*</t>
  </si>
  <si>
    <t xml:space="preserve">Sim / Não / Parcialmente</t>
  </si>
  <si>
    <t xml:space="preserve">Detectar mudanças de infraestrutura</t>
  </si>
  <si>
    <t xml:space="preserve">Se não, o que mudou (equipamentos novos, baixados, obras, etc.)?</t>
  </si>
  <si>
    <t xml:space="preserve">Texto longo</t>
  </si>
  <si>
    <t xml:space="preserve">Atualizar infraestrutura</t>
  </si>
  <si>
    <t xml:space="preserve">Quais pesquisas/projetos estão em andamento atualmente?*</t>
  </si>
  <si>
    <t xml:space="preserve">Base para identificar novas tecnologias</t>
  </si>
  <si>
    <t xml:space="preserve">Alguma dessas pesquisas já resultou em pedido de patente, registro de software, cultivar ou outro tipo de propriedade intelectual desde 2024?*</t>
  </si>
  <si>
    <t xml:space="preserve">Sim / Não</t>
  </si>
  <si>
    <t xml:space="preserve">Indicador direto de potencial deep tech</t>
  </si>
  <si>
    <t xml:space="preserve">Se sim, informe título, número do processo (INPI/AGIR) e situação atual (depositado, em exame, concedido)</t>
  </si>
  <si>
    <t xml:space="preserve">Rastrear status de IP</t>
  </si>
  <si>
    <t xml:space="preserve">A tecnologia já foi validada fora do laboratório (piloto, cliente, prêmio, financiamento externo)?</t>
  </si>
  <si>
    <t xml:space="preserve">Sim / Não + detalhes</t>
  </si>
  <si>
    <t xml:space="preserve">Medir TRL / tração de mercado</t>
  </si>
  <si>
    <t xml:space="preserve">Há interesse em transformar a pesquisa em produto, licenciamento ou spin-off (startup)?*</t>
  </si>
  <si>
    <t xml:space="preserve">Sim / Não / Já em andamento</t>
  </si>
  <si>
    <t xml:space="preserve">Priorizar apoio da FUNPEC/NIT</t>
  </si>
  <si>
    <t xml:space="preserve">O laboratório já foi procurado por empresas nos últimos 12 meses?</t>
  </si>
  <si>
    <t xml:space="preserve">Sim / Não + quantas</t>
  </si>
  <si>
    <t xml:space="preserve">Medir demanda de mercado</t>
  </si>
  <si>
    <t xml:space="preserve">Quais equipamentos ou competências o laboratório poderia oferecer para outros grupos (uso multiusuário)?</t>
  </si>
  <si>
    <t xml:space="preserve">Mapear sinergias entre laboratórios</t>
  </si>
  <si>
    <t xml:space="preserve">Classifique o estágio de maturidade tecnológica (TRL) da principal pesquisa atual</t>
  </si>
  <si>
    <t xml:space="preserve">Escala 1-9 (TRL)</t>
  </si>
  <si>
    <t xml:space="preserve">Padronizar comparação entre laboratórios</t>
  </si>
  <si>
    <t xml:space="preserve">Observações livres / apoio que gostaria de receber da FUNPEC</t>
  </si>
  <si>
    <t xml:space="preserve">Coletar demandas específicas</t>
  </si>
  <si>
    <t xml:space="preserve">Metodologia e limitações</t>
  </si>
  <si>
    <t xml:space="preserve">Classificação de Potencial Deep Tech
ALTO: evidência concreta e recente (2024-2026) de propriedade intelectual, prêmio, spin-off ou parceria externa validando a tecnologia fora do ambiente puramente acadêmico.
MÉDIO: infraestrutura, competência técnica e diferenciação de nicho relevantes, mas sem evidência recente de tração/IP no material disponível — recomenda-se follow-up via formulário.
BAIXO: perfil predominante de ensino, extensão ou consultoria/serviço técnico regular, com baixa diferenciação tecnológica proprietária no momento do mapeamento.
Fontes de atualização (2026)
Para os laboratórios classificados como 'Confirmado ativo' ou com status descrito, a informação foi checada via busca na web (páginas institucionais UFRN, Tribuna do Norte, SIGAA, ResearchGate, Escavador/Lattes, redes sociais oficiais) em setembro de 2026. Os demais laboratórios permanecem com o status 'A validar via formulário', pois não há fonte pública recente o suficiente para confirmar mudanças desde a resposta original de 2024 — nesses casos, o dado mais confiável é obtido diretamente com o coordenador.
Limitações importantes
1) Este levantamento NÃO é uma auditoria de propriedade intelectual: os pedidos de patente citados pelos próprios laboratórios (ex.: Propriedades Físicas dos Minerais, Laboratório de análise de sementes) precisam ser confirmados diretamente na base do INPI ou na vitrine AGIR/UFRN (https://agir.ufrn.br/vitrine/patentes) antes de qualquer decisão de negócio.
2) A lista de 340 patentes (planilha de prospecção) não está nominalmente vinculada a cada laboratório respondente — a associação entre patente e laboratório de origem, quando feita neste relatório, é inferencial (por área/tema) e deve ser validada pela FUNPEC/NIT.
3) 'Potencial Deep Tech' é uma primeira triagem qualitativa para priorizar esforço de acompanhamento — não substitui devida diligência técnica, de mercado ou de titularidade de IP.
4) Os dados de 2024 refletem autodeclaração dos respondentes ao formulário InovaLab; nem todos os laboratórios/grupos de pesquisa da UFRN estão representados.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</si>
</sst>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Patentes UFRN por área (n=340)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Patentes_por_Area!B3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Patentes_por_Area!$A$4:$A$6</c:f>
              <c:strCache>
                <c:ptCount val="3"/>
                <c:pt idx="0">
                  <c:v>Saúde</c:v>
                </c:pt>
                <c:pt idx="1">
                  <c:v>Energias</c:v>
                </c:pt>
                <c:pt idx="2">
                  <c:v>Indústrias (demais tecnologias industriais)</c:v>
                </c:pt>
              </c:strCache>
            </c:strRef>
          </c:cat>
          <c:val>
            <c:numRef>
              <c:f>Patentes_por_Area!$B$4:$B$6</c:f>
              <c:numCache>
                <c:formatCode>General</c:formatCode>
                <c:ptCount val="3"/>
                <c:pt idx="0">
                  <c:v>149</c:v>
                </c:pt>
                <c:pt idx="1">
                  <c:v>42</c:v>
                </c:pt>
                <c:pt idx="2">
                  <c:v>149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de potencial Deep Tech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Watchlist_DeepTech!$A$24:$A$26</c:f>
              <c:strCache>
                <c:ptCount val="3"/>
                <c:pt idx="0">
                  <c:v>ALTO</c:v>
                </c:pt>
                <c:pt idx="1">
                  <c:v>MEDIO</c:v>
                </c:pt>
                <c:pt idx="2">
                  <c:v>BAIXO</c:v>
                </c:pt>
              </c:strCache>
            </c:strRef>
          </c:cat>
          <c:val>
            <c:numRef>
              <c:f>Watchlist_DeepTech!$B$24:$B$26</c:f>
              <c:numCache>
                <c:formatCode>General</c:formatCode>
                <c:ptCount val="3"/>
                <c:pt idx="0">
                  <c:v>7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</c:ser>
        <c:gapWidth val="150"/>
        <c:overlap val="0"/>
        <c:axId val="75590486"/>
        <c:axId val="64118520"/>
      </c:barChart>
      <c:catAx>
        <c:axId val="75590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18520"/>
        <c:crosses val="autoZero"/>
        <c:auto val="1"/>
        <c:lblAlgn val="ctr"/>
        <c:lblOffset val="100"/>
        <c:noMultiLvlLbl val="0"/>
      </c:catAx>
      <c:valAx>
        <c:axId val="64118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laboratórios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90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13</xdr:col>
      <xdr:colOff>147600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878760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22</xdr:row>
      <xdr:rowOff>0</xdr:rowOff>
    </xdr:from>
    <xdr:to>
      <xdr:col>5</xdr:col>
      <xdr:colOff>1500120</xdr:colOff>
      <xdr:row>35</xdr:row>
      <xdr:rowOff>43200</xdr:rowOff>
    </xdr:to>
    <xdr:graphicFrame>
      <xdr:nvGraphicFramePr>
        <xdr:cNvPr id="1" name="Chart 1"/>
        <xdr:cNvGraphicFramePr/>
      </xdr:nvGraphicFramePr>
      <xdr:xfrm>
        <a:off x="4370040" y="116395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19.75" hidden="false" customHeight="true" outlineLevel="0" collapsed="false">
      <c r="B6" s="4" t="s">
        <v>3</v>
      </c>
    </row>
    <row r="9" customFormat="false" ht="15" hidden="false" customHeight="false" outlineLevel="0" collapsed="false">
      <c r="B9" s="3" t="s">
        <v>4</v>
      </c>
    </row>
    <row r="10" customFormat="false" ht="39.75" hidden="false" customHeight="true" outlineLevel="0" collapsed="false">
      <c r="B10" s="4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20"/>
    <col collapsed="false" customWidth="true" hidden="false" outlineLevel="0" max="11" min="10" style="0" width="14"/>
    <col collapsed="false" customWidth="true" hidden="false" outlineLevel="0" max="12" min="12" style="0" width="46"/>
    <col collapsed="false" customWidth="true" hidden="false" outlineLevel="0" max="13" min="13" style="0" width="24"/>
    <col collapsed="false" customWidth="true" hidden="false" outlineLevel="0" max="14" min="14" style="0" width="30"/>
  </cols>
  <sheetData>
    <row r="1" customFormat="false" ht="23.85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</row>
    <row r="2" customFormat="false" ht="60" hidden="false" customHeight="true" outlineLevel="0" collapsed="false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7" t="s">
        <v>30</v>
      </c>
      <c r="L2" s="6" t="s">
        <v>31</v>
      </c>
      <c r="M2" s="6" t="s">
        <v>32</v>
      </c>
      <c r="N2" s="6" t="s">
        <v>33</v>
      </c>
    </row>
    <row r="3" customFormat="false" ht="60" hidden="false" customHeight="true" outlineLevel="0" collapsed="false">
      <c r="A3" s="6" t="s">
        <v>34</v>
      </c>
      <c r="B3" s="6" t="s">
        <v>35</v>
      </c>
      <c r="C3" s="6" t="s">
        <v>36</v>
      </c>
      <c r="D3" s="6" t="s">
        <v>37</v>
      </c>
      <c r="E3" s="6" t="s">
        <v>24</v>
      </c>
      <c r="F3" s="6" t="s">
        <v>38</v>
      </c>
      <c r="G3" s="6" t="s">
        <v>39</v>
      </c>
      <c r="H3" s="6" t="s">
        <v>40</v>
      </c>
      <c r="I3" s="6" t="s">
        <v>41</v>
      </c>
      <c r="J3" s="6" t="s">
        <v>42</v>
      </c>
      <c r="K3" s="7" t="s">
        <v>30</v>
      </c>
      <c r="L3" s="6" t="s">
        <v>43</v>
      </c>
      <c r="M3" s="6" t="s">
        <v>44</v>
      </c>
      <c r="N3" s="6" t="s">
        <v>45</v>
      </c>
    </row>
    <row r="4" customFormat="false" ht="60" hidden="false" customHeight="true" outlineLevel="0" collapsed="false">
      <c r="A4" s="6" t="s">
        <v>46</v>
      </c>
      <c r="B4" s="6" t="s">
        <v>47</v>
      </c>
      <c r="C4" s="6" t="s">
        <v>48</v>
      </c>
      <c r="D4" s="6" t="s">
        <v>49</v>
      </c>
      <c r="E4" s="6" t="s">
        <v>24</v>
      </c>
      <c r="F4" s="6" t="s">
        <v>50</v>
      </c>
      <c r="G4" s="6" t="s">
        <v>51</v>
      </c>
      <c r="H4" s="6" t="s">
        <v>52</v>
      </c>
      <c r="I4" s="6" t="s">
        <v>53</v>
      </c>
      <c r="J4" s="6" t="s">
        <v>54</v>
      </c>
      <c r="K4" s="7" t="s">
        <v>30</v>
      </c>
      <c r="L4" s="6" t="s">
        <v>55</v>
      </c>
      <c r="M4" s="6" t="s">
        <v>56</v>
      </c>
      <c r="N4" s="6" t="s">
        <v>57</v>
      </c>
    </row>
    <row r="5" customFormat="false" ht="60" hidden="false" customHeight="true" outlineLevel="0" collapsed="false">
      <c r="A5" s="6" t="s">
        <v>58</v>
      </c>
      <c r="B5" s="6" t="s">
        <v>59</v>
      </c>
      <c r="C5" s="6" t="s">
        <v>60</v>
      </c>
      <c r="D5" s="6" t="s">
        <v>61</v>
      </c>
      <c r="E5" s="6" t="s">
        <v>24</v>
      </c>
      <c r="F5" s="6" t="s">
        <v>62</v>
      </c>
      <c r="G5" s="6" t="s">
        <v>63</v>
      </c>
      <c r="H5" s="6" t="s">
        <v>64</v>
      </c>
      <c r="I5" s="6" t="s">
        <v>65</v>
      </c>
      <c r="J5" s="6" t="s">
        <v>66</v>
      </c>
      <c r="K5" s="8" t="s">
        <v>67</v>
      </c>
      <c r="L5" s="6" t="s">
        <v>68</v>
      </c>
      <c r="M5" s="6" t="s">
        <v>69</v>
      </c>
      <c r="N5" s="6" t="s">
        <v>70</v>
      </c>
    </row>
    <row r="6" customFormat="false" ht="60" hidden="false" customHeight="true" outlineLevel="0" collapsed="false">
      <c r="A6" s="6" t="s">
        <v>71</v>
      </c>
      <c r="B6" s="6" t="s">
        <v>72</v>
      </c>
      <c r="C6" s="6" t="s">
        <v>73</v>
      </c>
      <c r="D6" s="6" t="s">
        <v>74</v>
      </c>
      <c r="E6" s="6" t="s">
        <v>24</v>
      </c>
      <c r="F6" s="6" t="s">
        <v>75</v>
      </c>
      <c r="G6" s="6" t="s">
        <v>76</v>
      </c>
      <c r="H6" s="6" t="s">
        <v>77</v>
      </c>
      <c r="I6" s="6" t="s">
        <v>78</v>
      </c>
      <c r="J6" s="6" t="s">
        <v>79</v>
      </c>
      <c r="K6" s="8" t="s">
        <v>67</v>
      </c>
      <c r="L6" s="6" t="s">
        <v>80</v>
      </c>
      <c r="M6" s="6" t="s">
        <v>69</v>
      </c>
      <c r="N6" s="6" t="s">
        <v>70</v>
      </c>
    </row>
    <row r="7" customFormat="false" ht="60" hidden="false" customHeight="true" outlineLevel="0" collapsed="false">
      <c r="A7" s="6" t="s">
        <v>81</v>
      </c>
      <c r="B7" s="6" t="s">
        <v>82</v>
      </c>
      <c r="C7" s="6" t="s">
        <v>83</v>
      </c>
      <c r="D7" s="6" t="s">
        <v>84</v>
      </c>
      <c r="E7" s="6" t="s">
        <v>24</v>
      </c>
      <c r="F7" s="6" t="s">
        <v>75</v>
      </c>
      <c r="G7" s="6" t="s">
        <v>85</v>
      </c>
      <c r="H7" s="6" t="s">
        <v>86</v>
      </c>
      <c r="I7" s="6" t="s">
        <v>87</v>
      </c>
      <c r="J7" s="6" t="s">
        <v>79</v>
      </c>
      <c r="K7" s="7" t="s">
        <v>30</v>
      </c>
      <c r="L7" s="6" t="s">
        <v>88</v>
      </c>
      <c r="M7" s="6" t="s">
        <v>89</v>
      </c>
      <c r="N7" s="6" t="s">
        <v>90</v>
      </c>
    </row>
    <row r="8" customFormat="false" ht="60" hidden="false" customHeight="true" outlineLevel="0" collapsed="false">
      <c r="A8" s="6" t="s">
        <v>91</v>
      </c>
      <c r="B8" s="6" t="s">
        <v>92</v>
      </c>
      <c r="C8" s="6" t="s">
        <v>93</v>
      </c>
      <c r="D8" s="6" t="s">
        <v>94</v>
      </c>
      <c r="E8" s="6" t="s">
        <v>24</v>
      </c>
      <c r="F8" s="6" t="s">
        <v>95</v>
      </c>
      <c r="G8" s="6" t="s">
        <v>96</v>
      </c>
      <c r="H8" s="6" t="s">
        <v>97</v>
      </c>
      <c r="I8" s="6" t="s">
        <v>87</v>
      </c>
      <c r="J8" s="6" t="s">
        <v>79</v>
      </c>
      <c r="K8" s="8" t="s">
        <v>67</v>
      </c>
      <c r="L8" s="6" t="s">
        <v>98</v>
      </c>
      <c r="M8" s="6" t="s">
        <v>69</v>
      </c>
      <c r="N8" s="6" t="s">
        <v>70</v>
      </c>
    </row>
    <row r="9" customFormat="false" ht="60" hidden="false" customHeight="true" outlineLevel="0" collapsed="false">
      <c r="A9" s="6" t="s">
        <v>99</v>
      </c>
      <c r="B9" s="6" t="s">
        <v>100</v>
      </c>
      <c r="C9" s="6" t="s">
        <v>101</v>
      </c>
      <c r="D9" s="6" t="s">
        <v>102</v>
      </c>
      <c r="E9" s="6" t="s">
        <v>24</v>
      </c>
      <c r="F9" s="6" t="s">
        <v>103</v>
      </c>
      <c r="G9" s="6" t="s">
        <v>104</v>
      </c>
      <c r="H9" s="6" t="s">
        <v>105</v>
      </c>
      <c r="I9" s="6" t="s">
        <v>106</v>
      </c>
      <c r="J9" s="6" t="s">
        <v>107</v>
      </c>
      <c r="K9" s="8" t="s">
        <v>67</v>
      </c>
      <c r="L9" s="6" t="s">
        <v>108</v>
      </c>
      <c r="M9" s="6" t="s">
        <v>69</v>
      </c>
      <c r="N9" s="6" t="s">
        <v>70</v>
      </c>
    </row>
    <row r="10" customFormat="false" ht="60" hidden="false" customHeight="true" outlineLevel="0" collapsed="false">
      <c r="A10" s="6" t="s">
        <v>109</v>
      </c>
      <c r="B10" s="6" t="s">
        <v>110</v>
      </c>
      <c r="C10" s="6" t="s">
        <v>101</v>
      </c>
      <c r="D10" s="6" t="s">
        <v>111</v>
      </c>
      <c r="E10" s="6" t="s">
        <v>24</v>
      </c>
      <c r="F10" s="6" t="s">
        <v>112</v>
      </c>
      <c r="G10" s="6" t="s">
        <v>113</v>
      </c>
      <c r="H10" s="6" t="s">
        <v>114</v>
      </c>
      <c r="I10" s="6" t="s">
        <v>115</v>
      </c>
      <c r="J10" s="6" t="s">
        <v>116</v>
      </c>
      <c r="K10" s="8" t="s">
        <v>67</v>
      </c>
      <c r="L10" s="6" t="s">
        <v>117</v>
      </c>
      <c r="M10" s="6" t="s">
        <v>69</v>
      </c>
      <c r="N10" s="6" t="s">
        <v>70</v>
      </c>
    </row>
    <row r="11" customFormat="false" ht="60" hidden="false" customHeight="true" outlineLevel="0" collapsed="false">
      <c r="A11" s="6" t="s">
        <v>118</v>
      </c>
      <c r="B11" s="6" t="s">
        <v>119</v>
      </c>
      <c r="C11" s="6" t="s">
        <v>120</v>
      </c>
      <c r="D11" s="6" t="s">
        <v>121</v>
      </c>
      <c r="E11" s="6" t="s">
        <v>24</v>
      </c>
      <c r="F11" s="6" t="s">
        <v>87</v>
      </c>
      <c r="G11" s="6" t="s">
        <v>122</v>
      </c>
      <c r="H11" s="6" t="s">
        <v>123</v>
      </c>
      <c r="I11" s="6" t="s">
        <v>124</v>
      </c>
      <c r="J11" s="6" t="s">
        <v>125</v>
      </c>
      <c r="K11" s="9" t="s">
        <v>126</v>
      </c>
      <c r="L11" s="6" t="s">
        <v>127</v>
      </c>
      <c r="M11" s="6" t="s">
        <v>69</v>
      </c>
      <c r="N11" s="6" t="s">
        <v>70</v>
      </c>
    </row>
    <row r="12" customFormat="false" ht="60" hidden="false" customHeight="true" outlineLevel="0" collapsed="false">
      <c r="A12" s="6" t="s">
        <v>128</v>
      </c>
      <c r="B12" s="6" t="s">
        <v>129</v>
      </c>
      <c r="C12" s="6" t="s">
        <v>130</v>
      </c>
      <c r="D12" s="6" t="s">
        <v>131</v>
      </c>
      <c r="E12" s="6" t="s">
        <v>132</v>
      </c>
      <c r="F12" s="6" t="s">
        <v>133</v>
      </c>
      <c r="G12" s="6" t="s">
        <v>134</v>
      </c>
      <c r="H12" s="6" t="s">
        <v>135</v>
      </c>
      <c r="I12" s="6" t="s">
        <v>136</v>
      </c>
      <c r="J12" s="6" t="s">
        <v>137</v>
      </c>
      <c r="K12" s="7" t="s">
        <v>30</v>
      </c>
      <c r="L12" s="6" t="s">
        <v>138</v>
      </c>
      <c r="M12" s="6" t="s">
        <v>139</v>
      </c>
      <c r="N12" s="6" t="s">
        <v>70</v>
      </c>
    </row>
    <row r="13" customFormat="false" ht="60" hidden="false" customHeight="true" outlineLevel="0" collapsed="false">
      <c r="A13" s="6" t="s">
        <v>140</v>
      </c>
      <c r="B13" s="6" t="s">
        <v>141</v>
      </c>
      <c r="C13" s="6" t="s">
        <v>142</v>
      </c>
      <c r="D13" s="6" t="s">
        <v>143</v>
      </c>
      <c r="E13" s="6" t="s">
        <v>24</v>
      </c>
      <c r="F13" s="6" t="s">
        <v>144</v>
      </c>
      <c r="G13" s="6" t="s">
        <v>145</v>
      </c>
      <c r="H13" s="6" t="s">
        <v>146</v>
      </c>
      <c r="I13" s="6" t="s">
        <v>87</v>
      </c>
      <c r="J13" s="6" t="s">
        <v>79</v>
      </c>
      <c r="K13" s="8" t="s">
        <v>67</v>
      </c>
      <c r="L13" s="6" t="s">
        <v>147</v>
      </c>
      <c r="M13" s="6" t="s">
        <v>69</v>
      </c>
      <c r="N13" s="6" t="s">
        <v>70</v>
      </c>
    </row>
    <row r="14" customFormat="false" ht="60" hidden="false" customHeight="true" outlineLevel="0" collapsed="false">
      <c r="A14" s="6" t="s">
        <v>148</v>
      </c>
      <c r="B14" s="6" t="s">
        <v>149</v>
      </c>
      <c r="C14" s="6" t="s">
        <v>150</v>
      </c>
      <c r="D14" s="6" t="s">
        <v>151</v>
      </c>
      <c r="E14" s="6" t="s">
        <v>24</v>
      </c>
      <c r="F14" s="6" t="s">
        <v>152</v>
      </c>
      <c r="G14" s="6" t="s">
        <v>153</v>
      </c>
      <c r="H14" s="6" t="s">
        <v>154</v>
      </c>
      <c r="I14" s="6" t="s">
        <v>79</v>
      </c>
      <c r="J14" s="6" t="s">
        <v>79</v>
      </c>
      <c r="K14" s="9" t="s">
        <v>126</v>
      </c>
      <c r="L14" s="6" t="s">
        <v>155</v>
      </c>
      <c r="M14" s="6" t="s">
        <v>69</v>
      </c>
      <c r="N14" s="6" t="s">
        <v>70</v>
      </c>
    </row>
    <row r="15" customFormat="false" ht="60" hidden="false" customHeight="true" outlineLevel="0" collapsed="false">
      <c r="A15" s="6" t="s">
        <v>156</v>
      </c>
      <c r="B15" s="6" t="s">
        <v>157</v>
      </c>
      <c r="C15" s="6" t="s">
        <v>158</v>
      </c>
      <c r="D15" s="6" t="s">
        <v>159</v>
      </c>
      <c r="E15" s="6" t="s">
        <v>24</v>
      </c>
      <c r="F15" s="6" t="s">
        <v>160</v>
      </c>
      <c r="G15" s="6" t="s">
        <v>161</v>
      </c>
      <c r="H15" s="6" t="s">
        <v>162</v>
      </c>
      <c r="I15" s="6" t="s">
        <v>79</v>
      </c>
      <c r="J15" s="6" t="s">
        <v>79</v>
      </c>
      <c r="K15" s="9" t="s">
        <v>126</v>
      </c>
      <c r="L15" s="6" t="s">
        <v>163</v>
      </c>
      <c r="M15" s="6" t="s">
        <v>69</v>
      </c>
      <c r="N15" s="6" t="s">
        <v>70</v>
      </c>
    </row>
    <row r="16" customFormat="false" ht="60" hidden="false" customHeight="true" outlineLevel="0" collapsed="false">
      <c r="A16" s="6" t="s">
        <v>164</v>
      </c>
      <c r="B16" s="6" t="s">
        <v>165</v>
      </c>
      <c r="C16" s="6" t="s">
        <v>166</v>
      </c>
      <c r="D16" s="6" t="s">
        <v>167</v>
      </c>
      <c r="E16" s="6" t="s">
        <v>24</v>
      </c>
      <c r="F16" s="6" t="s">
        <v>168</v>
      </c>
      <c r="G16" s="6" t="s">
        <v>169</v>
      </c>
      <c r="H16" s="6" t="s">
        <v>170</v>
      </c>
      <c r="I16" s="6" t="s">
        <v>79</v>
      </c>
      <c r="J16" s="6" t="s">
        <v>171</v>
      </c>
      <c r="K16" s="8" t="s">
        <v>67</v>
      </c>
      <c r="L16" s="6" t="s">
        <v>172</v>
      </c>
      <c r="M16" s="6" t="s">
        <v>69</v>
      </c>
      <c r="N16" s="6" t="s">
        <v>70</v>
      </c>
    </row>
    <row r="17" customFormat="false" ht="60" hidden="false" customHeight="true" outlineLevel="0" collapsed="false">
      <c r="A17" s="6" t="s">
        <v>173</v>
      </c>
      <c r="B17" s="6" t="s">
        <v>174</v>
      </c>
      <c r="C17" s="6" t="s">
        <v>175</v>
      </c>
      <c r="D17" s="6" t="s">
        <v>176</v>
      </c>
      <c r="E17" s="6" t="s">
        <v>132</v>
      </c>
      <c r="F17" s="6" t="s">
        <v>133</v>
      </c>
      <c r="G17" s="6" t="s">
        <v>177</v>
      </c>
      <c r="H17" s="6" t="s">
        <v>178</v>
      </c>
      <c r="I17" s="6" t="s">
        <v>179</v>
      </c>
      <c r="J17" s="6" t="s">
        <v>180</v>
      </c>
      <c r="K17" s="9" t="s">
        <v>126</v>
      </c>
      <c r="L17" s="6" t="s">
        <v>181</v>
      </c>
      <c r="M17" s="6" t="s">
        <v>69</v>
      </c>
      <c r="N17" s="6" t="s">
        <v>70</v>
      </c>
    </row>
    <row r="18" customFormat="false" ht="60" hidden="false" customHeight="true" outlineLevel="0" collapsed="false">
      <c r="A18" s="6" t="s">
        <v>182</v>
      </c>
      <c r="B18" s="6" t="s">
        <v>183</v>
      </c>
      <c r="C18" s="6" t="s">
        <v>184</v>
      </c>
      <c r="D18" s="6" t="s">
        <v>185</v>
      </c>
      <c r="E18" s="6" t="s">
        <v>24</v>
      </c>
      <c r="F18" s="6" t="s">
        <v>186</v>
      </c>
      <c r="G18" s="6" t="s">
        <v>187</v>
      </c>
      <c r="H18" s="6" t="s">
        <v>188</v>
      </c>
      <c r="I18" s="6" t="s">
        <v>79</v>
      </c>
      <c r="J18" s="6" t="s">
        <v>189</v>
      </c>
      <c r="K18" s="8" t="s">
        <v>67</v>
      </c>
      <c r="L18" s="6" t="s">
        <v>190</v>
      </c>
      <c r="M18" s="6" t="s">
        <v>69</v>
      </c>
      <c r="N18" s="6" t="s">
        <v>70</v>
      </c>
    </row>
    <row r="19" customFormat="false" ht="60" hidden="false" customHeight="true" outlineLevel="0" collapsed="false">
      <c r="A19" s="6" t="s">
        <v>191</v>
      </c>
      <c r="B19" s="6" t="s">
        <v>192</v>
      </c>
      <c r="C19" s="6" t="s">
        <v>193</v>
      </c>
      <c r="D19" s="6" t="s">
        <v>194</v>
      </c>
      <c r="E19" s="6" t="s">
        <v>24</v>
      </c>
      <c r="F19" s="6" t="s">
        <v>195</v>
      </c>
      <c r="G19" s="6" t="s">
        <v>196</v>
      </c>
      <c r="H19" s="6" t="s">
        <v>197</v>
      </c>
      <c r="I19" s="6" t="s">
        <v>198</v>
      </c>
      <c r="J19" s="6" t="s">
        <v>79</v>
      </c>
      <c r="K19" s="9" t="s">
        <v>126</v>
      </c>
      <c r="L19" s="6" t="s">
        <v>199</v>
      </c>
      <c r="M19" s="6" t="s">
        <v>69</v>
      </c>
      <c r="N19" s="6" t="s">
        <v>70</v>
      </c>
    </row>
    <row r="20" customFormat="false" ht="60" hidden="false" customHeight="true" outlineLevel="0" collapsed="false">
      <c r="A20" s="6" t="s">
        <v>200</v>
      </c>
      <c r="B20" s="6" t="s">
        <v>201</v>
      </c>
      <c r="C20" s="6" t="s">
        <v>184</v>
      </c>
      <c r="D20" s="6" t="s">
        <v>202</v>
      </c>
      <c r="E20" s="6" t="s">
        <v>24</v>
      </c>
      <c r="F20" s="6" t="s">
        <v>203</v>
      </c>
      <c r="G20" s="6" t="s">
        <v>204</v>
      </c>
      <c r="H20" s="6" t="s">
        <v>205</v>
      </c>
      <c r="I20" s="6" t="s">
        <v>79</v>
      </c>
      <c r="J20" s="6" t="s">
        <v>79</v>
      </c>
      <c r="K20" s="9" t="s">
        <v>126</v>
      </c>
      <c r="L20" s="6" t="s">
        <v>206</v>
      </c>
      <c r="M20" s="6" t="s">
        <v>69</v>
      </c>
      <c r="N20" s="6" t="s">
        <v>70</v>
      </c>
    </row>
    <row r="21" customFormat="false" ht="60" hidden="false" customHeight="true" outlineLevel="0" collapsed="false">
      <c r="A21" s="6" t="s">
        <v>207</v>
      </c>
      <c r="B21" s="6" t="s">
        <v>208</v>
      </c>
      <c r="C21" s="6" t="s">
        <v>120</v>
      </c>
      <c r="D21" s="6" t="s">
        <v>209</v>
      </c>
      <c r="E21" s="6" t="s">
        <v>24</v>
      </c>
      <c r="F21" s="6" t="s">
        <v>210</v>
      </c>
      <c r="G21" s="6" t="s">
        <v>211</v>
      </c>
      <c r="H21" s="6" t="s">
        <v>212</v>
      </c>
      <c r="I21" s="6" t="s">
        <v>79</v>
      </c>
      <c r="J21" s="6" t="s">
        <v>79</v>
      </c>
      <c r="K21" s="9" t="s">
        <v>126</v>
      </c>
      <c r="L21" s="6" t="s">
        <v>213</v>
      </c>
      <c r="M21" s="6" t="s">
        <v>69</v>
      </c>
      <c r="N21" s="6" t="s">
        <v>70</v>
      </c>
    </row>
    <row r="22" customFormat="false" ht="60" hidden="false" customHeight="true" outlineLevel="0" collapsed="false">
      <c r="A22" s="6" t="s">
        <v>214</v>
      </c>
      <c r="B22" s="6" t="s">
        <v>215</v>
      </c>
      <c r="C22" s="6" t="s">
        <v>120</v>
      </c>
      <c r="D22" s="6" t="s">
        <v>216</v>
      </c>
      <c r="E22" s="6" t="s">
        <v>24</v>
      </c>
      <c r="F22" s="6" t="s">
        <v>87</v>
      </c>
      <c r="G22" s="6" t="s">
        <v>217</v>
      </c>
      <c r="H22" s="6" t="s">
        <v>218</v>
      </c>
      <c r="I22" s="6" t="s">
        <v>79</v>
      </c>
      <c r="J22" s="6" t="s">
        <v>79</v>
      </c>
      <c r="K22" s="9" t="s">
        <v>126</v>
      </c>
      <c r="L22" s="6" t="s">
        <v>219</v>
      </c>
      <c r="M22" s="6" t="s">
        <v>69</v>
      </c>
      <c r="N22" s="6" t="s">
        <v>70</v>
      </c>
    </row>
    <row r="23" customFormat="false" ht="60" hidden="false" customHeight="true" outlineLevel="0" collapsed="false">
      <c r="A23" s="6" t="s">
        <v>220</v>
      </c>
      <c r="B23" s="6" t="s">
        <v>221</v>
      </c>
      <c r="C23" s="6" t="s">
        <v>222</v>
      </c>
      <c r="D23" s="6" t="s">
        <v>223</v>
      </c>
      <c r="E23" s="6" t="s">
        <v>24</v>
      </c>
      <c r="F23" s="6" t="s">
        <v>87</v>
      </c>
      <c r="G23" s="6" t="s">
        <v>224</v>
      </c>
      <c r="H23" s="6" t="s">
        <v>225</v>
      </c>
      <c r="I23" s="6" t="s">
        <v>226</v>
      </c>
      <c r="J23" s="6" t="s">
        <v>79</v>
      </c>
      <c r="K23" s="8" t="s">
        <v>67</v>
      </c>
      <c r="L23" s="6" t="s">
        <v>227</v>
      </c>
      <c r="M23" s="6" t="s">
        <v>69</v>
      </c>
      <c r="N23" s="6" t="s">
        <v>70</v>
      </c>
    </row>
    <row r="24" customFormat="false" ht="60" hidden="false" customHeight="true" outlineLevel="0" collapsed="false">
      <c r="A24" s="6" t="s">
        <v>228</v>
      </c>
      <c r="B24" s="6" t="s">
        <v>229</v>
      </c>
      <c r="C24" s="6" t="s">
        <v>48</v>
      </c>
      <c r="D24" s="6" t="s">
        <v>230</v>
      </c>
      <c r="E24" s="6" t="s">
        <v>24</v>
      </c>
      <c r="F24" s="6" t="s">
        <v>231</v>
      </c>
      <c r="G24" s="6" t="s">
        <v>232</v>
      </c>
      <c r="H24" s="6" t="s">
        <v>233</v>
      </c>
      <c r="I24" s="6" t="s">
        <v>53</v>
      </c>
      <c r="J24" s="6" t="s">
        <v>54</v>
      </c>
      <c r="K24" s="8" t="s">
        <v>67</v>
      </c>
      <c r="L24" s="6" t="s">
        <v>234</v>
      </c>
      <c r="M24" s="6" t="s">
        <v>69</v>
      </c>
      <c r="N24" s="6" t="s">
        <v>235</v>
      </c>
    </row>
    <row r="25" customFormat="false" ht="60" hidden="false" customHeight="true" outlineLevel="0" collapsed="false">
      <c r="A25" s="6" t="s">
        <v>236</v>
      </c>
      <c r="B25" s="6" t="s">
        <v>237</v>
      </c>
      <c r="C25" s="6" t="s">
        <v>238</v>
      </c>
      <c r="D25" s="6" t="s">
        <v>239</v>
      </c>
      <c r="E25" s="6" t="s">
        <v>24</v>
      </c>
      <c r="F25" s="6" t="s">
        <v>240</v>
      </c>
      <c r="G25" s="6" t="s">
        <v>241</v>
      </c>
      <c r="H25" s="6" t="s">
        <v>242</v>
      </c>
      <c r="I25" s="6" t="s">
        <v>79</v>
      </c>
      <c r="J25" s="6" t="s">
        <v>243</v>
      </c>
      <c r="K25" s="9" t="s">
        <v>126</v>
      </c>
      <c r="L25" s="6" t="s">
        <v>244</v>
      </c>
      <c r="M25" s="6" t="s">
        <v>69</v>
      </c>
      <c r="N25" s="6" t="s">
        <v>235</v>
      </c>
    </row>
    <row r="26" customFormat="false" ht="60" hidden="false" customHeight="true" outlineLevel="0" collapsed="false">
      <c r="A26" s="6" t="s">
        <v>245</v>
      </c>
      <c r="B26" s="6" t="s">
        <v>246</v>
      </c>
      <c r="C26" s="6" t="s">
        <v>247</v>
      </c>
      <c r="D26" s="6" t="s">
        <v>248</v>
      </c>
      <c r="E26" s="6" t="s">
        <v>24</v>
      </c>
      <c r="F26" s="6" t="s">
        <v>249</v>
      </c>
      <c r="G26" s="6" t="s">
        <v>250</v>
      </c>
      <c r="H26" s="6" t="s">
        <v>251</v>
      </c>
      <c r="I26" s="6" t="s">
        <v>79</v>
      </c>
      <c r="J26" s="6" t="s">
        <v>252</v>
      </c>
      <c r="K26" s="7" t="s">
        <v>30</v>
      </c>
      <c r="L26" s="6" t="s">
        <v>253</v>
      </c>
      <c r="M26" s="6" t="s">
        <v>254</v>
      </c>
      <c r="N26" s="6" t="s">
        <v>255</v>
      </c>
    </row>
    <row r="27" customFormat="false" ht="60" hidden="false" customHeight="true" outlineLevel="0" collapsed="false">
      <c r="A27" s="6" t="s">
        <v>256</v>
      </c>
      <c r="B27" s="6" t="s">
        <v>257</v>
      </c>
      <c r="C27" s="6" t="s">
        <v>258</v>
      </c>
      <c r="D27" s="6" t="s">
        <v>259</v>
      </c>
      <c r="E27" s="6" t="s">
        <v>24</v>
      </c>
      <c r="F27" s="6" t="s">
        <v>260</v>
      </c>
      <c r="G27" s="6" t="s">
        <v>261</v>
      </c>
      <c r="H27" s="6" t="s">
        <v>262</v>
      </c>
      <c r="I27" s="6" t="s">
        <v>263</v>
      </c>
      <c r="J27" s="6" t="s">
        <v>263</v>
      </c>
      <c r="K27" s="7" t="s">
        <v>30</v>
      </c>
      <c r="L27" s="6" t="s">
        <v>264</v>
      </c>
      <c r="M27" s="6" t="s">
        <v>265</v>
      </c>
      <c r="N27" s="6" t="s">
        <v>266</v>
      </c>
    </row>
  </sheetData>
  <dataValidations count="1">
    <dataValidation allowBlank="true" errorStyle="stop" operator="between" showDropDown="false" showErrorMessage="false" showInputMessage="false" sqref="K2:K27" type="list">
      <formula1>"ALTO,MEDIO,BAIXO"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0" t="s">
        <v>267</v>
      </c>
      <c r="B1" s="10"/>
      <c r="C1" s="10"/>
      <c r="D1" s="10"/>
    </row>
    <row r="3" customFormat="false" ht="15" hidden="false" customHeight="false" outlineLevel="0" collapsed="false">
      <c r="A3" s="5" t="s">
        <v>268</v>
      </c>
      <c r="B3" s="5" t="s">
        <v>269</v>
      </c>
      <c r="C3" s="5" t="s">
        <v>270</v>
      </c>
      <c r="D3" s="5" t="s">
        <v>271</v>
      </c>
    </row>
    <row r="4" customFormat="false" ht="15" hidden="false" customHeight="false" outlineLevel="0" collapsed="false">
      <c r="A4" s="11" t="s">
        <v>93</v>
      </c>
      <c r="B4" s="11" t="n">
        <v>149</v>
      </c>
      <c r="C4" s="12" t="n">
        <f aca="false">B4/$B$7</f>
        <v>0.438235294117647</v>
      </c>
    </row>
    <row r="5" customFormat="false" ht="15" hidden="false" customHeight="false" outlineLevel="0" collapsed="false">
      <c r="A5" s="11" t="s">
        <v>272</v>
      </c>
      <c r="B5" s="11" t="n">
        <v>42</v>
      </c>
      <c r="C5" s="12" t="n">
        <f aca="false">B5/$B$7</f>
        <v>0.123529411764706</v>
      </c>
    </row>
    <row r="6" customFormat="false" ht="15" hidden="false" customHeight="false" outlineLevel="0" collapsed="false">
      <c r="A6" s="11" t="s">
        <v>273</v>
      </c>
      <c r="B6" s="11" t="n">
        <v>149</v>
      </c>
      <c r="C6" s="12" t="n">
        <f aca="false">B6/$B$7</f>
        <v>0.438235294117647</v>
      </c>
    </row>
    <row r="7" customFormat="false" ht="15" hidden="false" customHeight="false" outlineLevel="0" collapsed="false">
      <c r="A7" s="13" t="s">
        <v>274</v>
      </c>
      <c r="B7" s="13" t="n">
        <f aca="false">SUM(B4:B6)</f>
        <v>340</v>
      </c>
      <c r="C7" s="12" t="n">
        <f aca="false">B7/B7</f>
        <v>1</v>
      </c>
      <c r="D7" s="14" t="s">
        <v>275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0" t="s">
        <v>276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5" t="s">
        <v>277</v>
      </c>
      <c r="B3" s="5" t="s">
        <v>6</v>
      </c>
      <c r="C3" s="5" t="s">
        <v>7</v>
      </c>
      <c r="D3" s="5" t="s">
        <v>268</v>
      </c>
      <c r="E3" s="5" t="s">
        <v>278</v>
      </c>
      <c r="F3" s="5" t="s">
        <v>279</v>
      </c>
      <c r="G3" s="5" t="s">
        <v>280</v>
      </c>
    </row>
    <row r="4" customFormat="false" ht="49.5" hidden="false" customHeight="true" outlineLevel="0" collapsed="false">
      <c r="A4" s="6" t="n">
        <v>1</v>
      </c>
      <c r="B4" s="6" t="s">
        <v>256</v>
      </c>
      <c r="C4" s="6" t="s">
        <v>257</v>
      </c>
      <c r="D4" s="6" t="s">
        <v>259</v>
      </c>
      <c r="E4" s="15" t="s">
        <v>30</v>
      </c>
      <c r="F4" s="6" t="s">
        <v>281</v>
      </c>
      <c r="G4" s="6" t="s">
        <v>282</v>
      </c>
    </row>
    <row r="5" customFormat="false" ht="49.5" hidden="false" customHeight="true" outlineLevel="0" collapsed="false">
      <c r="A5" s="6" t="n">
        <v>2</v>
      </c>
      <c r="B5" s="6" t="s">
        <v>20</v>
      </c>
      <c r="C5" s="6" t="s">
        <v>21</v>
      </c>
      <c r="D5" s="6" t="s">
        <v>23</v>
      </c>
      <c r="E5" s="15" t="s">
        <v>30</v>
      </c>
      <c r="F5" s="6" t="s">
        <v>281</v>
      </c>
      <c r="G5" s="6" t="s">
        <v>282</v>
      </c>
    </row>
    <row r="6" customFormat="false" ht="49.5" hidden="false" customHeight="true" outlineLevel="0" collapsed="false">
      <c r="A6" s="6" t="n">
        <v>3</v>
      </c>
      <c r="B6" s="6" t="s">
        <v>34</v>
      </c>
      <c r="C6" s="6" t="s">
        <v>35</v>
      </c>
      <c r="D6" s="6" t="s">
        <v>37</v>
      </c>
      <c r="E6" s="15" t="s">
        <v>30</v>
      </c>
      <c r="F6" s="6" t="s">
        <v>281</v>
      </c>
      <c r="G6" s="6" t="s">
        <v>282</v>
      </c>
    </row>
    <row r="7" customFormat="false" ht="49.5" hidden="false" customHeight="true" outlineLevel="0" collapsed="false">
      <c r="A7" s="6" t="n">
        <v>4</v>
      </c>
      <c r="B7" s="6" t="s">
        <v>245</v>
      </c>
      <c r="C7" s="6" t="s">
        <v>246</v>
      </c>
      <c r="D7" s="6" t="s">
        <v>248</v>
      </c>
      <c r="E7" s="15" t="s">
        <v>30</v>
      </c>
      <c r="F7" s="6" t="s">
        <v>281</v>
      </c>
      <c r="G7" s="6" t="s">
        <v>282</v>
      </c>
    </row>
    <row r="8" customFormat="false" ht="49.5" hidden="false" customHeight="true" outlineLevel="0" collapsed="false">
      <c r="A8" s="6" t="n">
        <v>5</v>
      </c>
      <c r="B8" s="6" t="s">
        <v>46</v>
      </c>
      <c r="C8" s="6" t="s">
        <v>47</v>
      </c>
      <c r="D8" s="6" t="s">
        <v>49</v>
      </c>
      <c r="E8" s="15" t="s">
        <v>30</v>
      </c>
      <c r="F8" s="6" t="s">
        <v>281</v>
      </c>
      <c r="G8" s="6" t="s">
        <v>282</v>
      </c>
    </row>
    <row r="9" customFormat="false" ht="49.5" hidden="false" customHeight="true" outlineLevel="0" collapsed="false">
      <c r="A9" s="6" t="n">
        <v>6</v>
      </c>
      <c r="B9" s="6" t="s">
        <v>128</v>
      </c>
      <c r="C9" s="6" t="s">
        <v>129</v>
      </c>
      <c r="D9" s="6" t="s">
        <v>131</v>
      </c>
      <c r="E9" s="15" t="s">
        <v>30</v>
      </c>
      <c r="F9" s="6" t="s">
        <v>281</v>
      </c>
      <c r="G9" s="6" t="s">
        <v>282</v>
      </c>
    </row>
    <row r="10" customFormat="false" ht="49.5" hidden="false" customHeight="true" outlineLevel="0" collapsed="false">
      <c r="A10" s="6" t="n">
        <v>7</v>
      </c>
      <c r="B10" s="6" t="s">
        <v>81</v>
      </c>
      <c r="C10" s="6" t="s">
        <v>82</v>
      </c>
      <c r="D10" s="6" t="s">
        <v>84</v>
      </c>
      <c r="E10" s="15" t="s">
        <v>30</v>
      </c>
      <c r="F10" s="6" t="s">
        <v>281</v>
      </c>
      <c r="G10" s="6" t="s">
        <v>282</v>
      </c>
    </row>
    <row r="11" customFormat="false" ht="49.5" hidden="false" customHeight="true" outlineLevel="0" collapsed="false">
      <c r="A11" s="6" t="n">
        <v>8</v>
      </c>
      <c r="B11" s="6" t="s">
        <v>71</v>
      </c>
      <c r="C11" s="6" t="s">
        <v>72</v>
      </c>
      <c r="D11" s="6" t="s">
        <v>74</v>
      </c>
      <c r="E11" s="16" t="s">
        <v>67</v>
      </c>
      <c r="F11" s="6" t="s">
        <v>283</v>
      </c>
      <c r="G11" s="6" t="s">
        <v>282</v>
      </c>
    </row>
    <row r="12" customFormat="false" ht="49.5" hidden="false" customHeight="true" outlineLevel="0" collapsed="false">
      <c r="A12" s="6" t="n">
        <v>9</v>
      </c>
      <c r="B12" s="6" t="s">
        <v>140</v>
      </c>
      <c r="C12" s="6" t="s">
        <v>141</v>
      </c>
      <c r="D12" s="6" t="s">
        <v>143</v>
      </c>
      <c r="E12" s="16" t="s">
        <v>67</v>
      </c>
      <c r="F12" s="6" t="s">
        <v>283</v>
      </c>
      <c r="G12" s="6" t="s">
        <v>282</v>
      </c>
    </row>
    <row r="13" customFormat="false" ht="49.5" hidden="false" customHeight="true" outlineLevel="0" collapsed="false">
      <c r="A13" s="6" t="n">
        <v>10</v>
      </c>
      <c r="B13" s="6" t="s">
        <v>99</v>
      </c>
      <c r="C13" s="6" t="s">
        <v>100</v>
      </c>
      <c r="D13" s="6" t="s">
        <v>102</v>
      </c>
      <c r="E13" s="16" t="s">
        <v>67</v>
      </c>
      <c r="F13" s="6" t="s">
        <v>283</v>
      </c>
      <c r="G13" s="6" t="s">
        <v>282</v>
      </c>
    </row>
    <row r="14" customFormat="false" ht="49.5" hidden="false" customHeight="true" outlineLevel="0" collapsed="false">
      <c r="A14" s="6" t="n">
        <v>11</v>
      </c>
      <c r="B14" s="6" t="s">
        <v>220</v>
      </c>
      <c r="C14" s="6" t="s">
        <v>221</v>
      </c>
      <c r="D14" s="6" t="s">
        <v>223</v>
      </c>
      <c r="E14" s="16" t="s">
        <v>67</v>
      </c>
      <c r="F14" s="6" t="s">
        <v>283</v>
      </c>
      <c r="G14" s="6" t="s">
        <v>282</v>
      </c>
    </row>
    <row r="15" customFormat="false" ht="49.5" hidden="false" customHeight="true" outlineLevel="0" collapsed="false">
      <c r="A15" s="6" t="n">
        <v>12</v>
      </c>
      <c r="B15" s="6" t="s">
        <v>58</v>
      </c>
      <c r="C15" s="6" t="s">
        <v>59</v>
      </c>
      <c r="D15" s="6" t="s">
        <v>61</v>
      </c>
      <c r="E15" s="16" t="s">
        <v>67</v>
      </c>
      <c r="F15" s="6" t="s">
        <v>283</v>
      </c>
      <c r="G15" s="6" t="s">
        <v>282</v>
      </c>
    </row>
    <row r="16" customFormat="false" ht="49.5" hidden="false" customHeight="true" outlineLevel="0" collapsed="false">
      <c r="A16" s="6" t="n">
        <v>13</v>
      </c>
      <c r="B16" s="6" t="s">
        <v>164</v>
      </c>
      <c r="C16" s="6" t="s">
        <v>165</v>
      </c>
      <c r="D16" s="6" t="s">
        <v>167</v>
      </c>
      <c r="E16" s="16" t="s">
        <v>67</v>
      </c>
      <c r="F16" s="6" t="s">
        <v>283</v>
      </c>
      <c r="G16" s="6" t="s">
        <v>282</v>
      </c>
    </row>
    <row r="17" customFormat="false" ht="49.5" hidden="false" customHeight="true" outlineLevel="0" collapsed="false">
      <c r="A17" s="6" t="n">
        <v>14</v>
      </c>
      <c r="B17" s="6" t="s">
        <v>228</v>
      </c>
      <c r="C17" s="6" t="s">
        <v>229</v>
      </c>
      <c r="D17" s="6" t="s">
        <v>230</v>
      </c>
      <c r="E17" s="16" t="s">
        <v>67</v>
      </c>
      <c r="F17" s="6" t="s">
        <v>283</v>
      </c>
      <c r="G17" s="6" t="s">
        <v>282</v>
      </c>
    </row>
    <row r="18" customFormat="false" ht="49.5" hidden="false" customHeight="true" outlineLevel="0" collapsed="false">
      <c r="A18" s="6" t="n">
        <v>15</v>
      </c>
      <c r="B18" s="6" t="s">
        <v>109</v>
      </c>
      <c r="C18" s="6" t="s">
        <v>110</v>
      </c>
      <c r="D18" s="6" t="s">
        <v>111</v>
      </c>
      <c r="E18" s="16" t="s">
        <v>67</v>
      </c>
      <c r="F18" s="6" t="s">
        <v>283</v>
      </c>
      <c r="G18" s="6" t="s">
        <v>282</v>
      </c>
    </row>
    <row r="19" customFormat="false" ht="49.5" hidden="false" customHeight="true" outlineLevel="0" collapsed="false">
      <c r="A19" s="6" t="n">
        <v>16</v>
      </c>
      <c r="B19" s="6" t="s">
        <v>91</v>
      </c>
      <c r="C19" s="6" t="s">
        <v>92</v>
      </c>
      <c r="D19" s="6" t="s">
        <v>94</v>
      </c>
      <c r="E19" s="16" t="s">
        <v>67</v>
      </c>
      <c r="F19" s="6" t="s">
        <v>283</v>
      </c>
      <c r="G19" s="6" t="s">
        <v>282</v>
      </c>
    </row>
    <row r="20" customFormat="false" ht="49.5" hidden="false" customHeight="true" outlineLevel="0" collapsed="false">
      <c r="A20" s="6" t="n">
        <v>17</v>
      </c>
      <c r="B20" s="6" t="s">
        <v>182</v>
      </c>
      <c r="C20" s="6" t="s">
        <v>183</v>
      </c>
      <c r="D20" s="6" t="s">
        <v>185</v>
      </c>
      <c r="E20" s="16" t="s">
        <v>67</v>
      </c>
      <c r="F20" s="6" t="s">
        <v>283</v>
      </c>
      <c r="G20" s="6" t="s">
        <v>282</v>
      </c>
    </row>
    <row r="23" customFormat="false" ht="15" hidden="false" customHeight="false" outlineLevel="0" collapsed="false">
      <c r="A23" s="3" t="s">
        <v>284</v>
      </c>
    </row>
    <row r="24" customFormat="false" ht="15" hidden="false" customHeight="false" outlineLevel="0" collapsed="false">
      <c r="A24" s="17" t="s">
        <v>30</v>
      </c>
      <c r="B24" s="0" t="n">
        <v>7</v>
      </c>
    </row>
    <row r="25" customFormat="false" ht="15" hidden="false" customHeight="false" outlineLevel="0" collapsed="false">
      <c r="A25" s="17" t="s">
        <v>67</v>
      </c>
      <c r="B25" s="0" t="n">
        <v>10</v>
      </c>
    </row>
    <row r="26" customFormat="false" ht="15" hidden="false" customHeight="false" outlineLevel="0" collapsed="false">
      <c r="A26" s="17" t="s">
        <v>126</v>
      </c>
      <c r="B26" s="0" t="n">
        <v>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0" t="s">
        <v>285</v>
      </c>
      <c r="B1" s="10"/>
      <c r="C1" s="10"/>
      <c r="D1" s="10"/>
      <c r="E1" s="10"/>
      <c r="F1" s="10"/>
    </row>
    <row r="2" customFormat="false" ht="25.5" hidden="false" customHeight="true" outlineLevel="0" collapsed="false">
      <c r="A2" s="18" t="s">
        <v>286</v>
      </c>
      <c r="B2" s="18"/>
      <c r="C2" s="18"/>
      <c r="D2" s="18"/>
      <c r="E2" s="18"/>
      <c r="F2" s="18"/>
    </row>
    <row r="4" customFormat="false" ht="15" hidden="false" customHeight="false" outlineLevel="0" collapsed="false">
      <c r="A4" s="5" t="s">
        <v>287</v>
      </c>
      <c r="B4" s="5" t="s">
        <v>7</v>
      </c>
      <c r="C4" s="5" t="s">
        <v>8</v>
      </c>
      <c r="D4" s="5" t="s">
        <v>278</v>
      </c>
      <c r="E4" s="5" t="s">
        <v>288</v>
      </c>
      <c r="F4" s="5" t="s">
        <v>289</v>
      </c>
    </row>
    <row r="5" customFormat="false" ht="75" hidden="false" customHeight="true" outlineLevel="0" collapsed="false">
      <c r="A5" s="6" t="s">
        <v>256</v>
      </c>
      <c r="B5" s="6" t="s">
        <v>257</v>
      </c>
      <c r="C5" s="6" t="s">
        <v>258</v>
      </c>
      <c r="D5" s="15" t="s">
        <v>30</v>
      </c>
      <c r="E5" s="6" t="s">
        <v>264</v>
      </c>
      <c r="F5" s="6" t="s">
        <v>265</v>
      </c>
    </row>
    <row r="6" customFormat="false" ht="75" hidden="false" customHeight="true" outlineLevel="0" collapsed="false">
      <c r="A6" s="6" t="s">
        <v>20</v>
      </c>
      <c r="B6" s="6" t="s">
        <v>21</v>
      </c>
      <c r="C6" s="6" t="s">
        <v>22</v>
      </c>
      <c r="D6" s="15" t="s">
        <v>30</v>
      </c>
      <c r="E6" s="6" t="s">
        <v>31</v>
      </c>
      <c r="F6" s="6" t="s">
        <v>32</v>
      </c>
    </row>
    <row r="7" customFormat="false" ht="75" hidden="false" customHeight="true" outlineLevel="0" collapsed="false">
      <c r="A7" s="6" t="s">
        <v>34</v>
      </c>
      <c r="B7" s="6" t="s">
        <v>35</v>
      </c>
      <c r="C7" s="6" t="s">
        <v>36</v>
      </c>
      <c r="D7" s="15" t="s">
        <v>30</v>
      </c>
      <c r="E7" s="6" t="s">
        <v>43</v>
      </c>
      <c r="F7" s="6" t="s">
        <v>44</v>
      </c>
    </row>
    <row r="8" customFormat="false" ht="75" hidden="false" customHeight="true" outlineLevel="0" collapsed="false">
      <c r="A8" s="6" t="s">
        <v>245</v>
      </c>
      <c r="B8" s="6" t="s">
        <v>246</v>
      </c>
      <c r="C8" s="6" t="s">
        <v>247</v>
      </c>
      <c r="D8" s="15" t="s">
        <v>30</v>
      </c>
      <c r="E8" s="6" t="s">
        <v>253</v>
      </c>
      <c r="F8" s="6" t="s">
        <v>254</v>
      </c>
    </row>
    <row r="9" customFormat="false" ht="75" hidden="false" customHeight="true" outlineLevel="0" collapsed="false">
      <c r="A9" s="6" t="s">
        <v>46</v>
      </c>
      <c r="B9" s="6" t="s">
        <v>47</v>
      </c>
      <c r="C9" s="6" t="s">
        <v>48</v>
      </c>
      <c r="D9" s="15" t="s">
        <v>30</v>
      </c>
      <c r="E9" s="6" t="s">
        <v>55</v>
      </c>
      <c r="F9" s="6" t="s">
        <v>56</v>
      </c>
    </row>
    <row r="10" customFormat="false" ht="75" hidden="false" customHeight="true" outlineLevel="0" collapsed="false">
      <c r="A10" s="6" t="s">
        <v>81</v>
      </c>
      <c r="B10" s="6" t="s">
        <v>82</v>
      </c>
      <c r="C10" s="6" t="s">
        <v>83</v>
      </c>
      <c r="D10" s="15" t="s">
        <v>30</v>
      </c>
      <c r="E10" s="6" t="s">
        <v>88</v>
      </c>
      <c r="F10" s="6" t="s">
        <v>89</v>
      </c>
    </row>
    <row r="11" customFormat="false" ht="75" hidden="false" customHeight="true" outlineLevel="0" collapsed="false">
      <c r="A11" s="6" t="s">
        <v>71</v>
      </c>
      <c r="B11" s="6" t="s">
        <v>72</v>
      </c>
      <c r="C11" s="6" t="s">
        <v>73</v>
      </c>
      <c r="D11" s="16" t="s">
        <v>67</v>
      </c>
      <c r="E11" s="6" t="s">
        <v>80</v>
      </c>
      <c r="F11" s="6" t="s">
        <v>69</v>
      </c>
    </row>
    <row r="12" customFormat="false" ht="75" hidden="false" customHeight="true" outlineLevel="0" collapsed="false">
      <c r="A12" s="6" t="s">
        <v>140</v>
      </c>
      <c r="B12" s="6" t="s">
        <v>141</v>
      </c>
      <c r="C12" s="6" t="s">
        <v>142</v>
      </c>
      <c r="D12" s="16" t="s">
        <v>67</v>
      </c>
      <c r="E12" s="6" t="s">
        <v>147</v>
      </c>
      <c r="F12" s="6" t="s">
        <v>69</v>
      </c>
    </row>
    <row r="13" customFormat="false" ht="75" hidden="false" customHeight="true" outlineLevel="0" collapsed="false">
      <c r="A13" s="6" t="s">
        <v>99</v>
      </c>
      <c r="B13" s="6" t="s">
        <v>100</v>
      </c>
      <c r="C13" s="6" t="s">
        <v>101</v>
      </c>
      <c r="D13" s="16" t="s">
        <v>67</v>
      </c>
      <c r="E13" s="6" t="s">
        <v>108</v>
      </c>
      <c r="F13" s="6" t="s">
        <v>69</v>
      </c>
    </row>
    <row r="14" customFormat="false" ht="75" hidden="false" customHeight="true" outlineLevel="0" collapsed="false">
      <c r="A14" s="6" t="s">
        <v>220</v>
      </c>
      <c r="B14" s="6" t="s">
        <v>221</v>
      </c>
      <c r="C14" s="6" t="s">
        <v>222</v>
      </c>
      <c r="D14" s="16" t="s">
        <v>67</v>
      </c>
      <c r="E14" s="6" t="s">
        <v>227</v>
      </c>
      <c r="F14" s="6" t="s">
        <v>69</v>
      </c>
    </row>
    <row r="15" customFormat="false" ht="75" hidden="false" customHeight="true" outlineLevel="0" collapsed="false">
      <c r="A15" s="6" t="s">
        <v>228</v>
      </c>
      <c r="B15" s="6" t="s">
        <v>229</v>
      </c>
      <c r="C15" s="6" t="s">
        <v>48</v>
      </c>
      <c r="D15" s="16" t="s">
        <v>67</v>
      </c>
      <c r="E15" s="6" t="s">
        <v>234</v>
      </c>
      <c r="F15" s="6" t="s">
        <v>69</v>
      </c>
    </row>
    <row r="16" customFormat="false" ht="75" hidden="false" customHeight="true" outlineLevel="0" collapsed="false">
      <c r="A16" s="6" t="s">
        <v>109</v>
      </c>
      <c r="B16" s="6" t="s">
        <v>110</v>
      </c>
      <c r="C16" s="6" t="s">
        <v>101</v>
      </c>
      <c r="D16" s="16" t="s">
        <v>67</v>
      </c>
      <c r="E16" s="6" t="s">
        <v>117</v>
      </c>
      <c r="F16" s="6" t="s">
        <v>69</v>
      </c>
    </row>
    <row r="17" customFormat="false" ht="75" hidden="false" customHeight="true" outlineLevel="0" collapsed="false">
      <c r="A17" s="6" t="s">
        <v>182</v>
      </c>
      <c r="B17" s="6" t="s">
        <v>183</v>
      </c>
      <c r="C17" s="6" t="s">
        <v>184</v>
      </c>
      <c r="D17" s="16" t="s">
        <v>67</v>
      </c>
      <c r="E17" s="6" t="s">
        <v>190</v>
      </c>
      <c r="F17" s="6" t="s">
        <v>69</v>
      </c>
    </row>
    <row r="18" customFormat="false" ht="75" hidden="false" customHeight="true" outlineLevel="0" collapsed="false">
      <c r="A18" s="6" t="s">
        <v>236</v>
      </c>
      <c r="B18" s="6" t="s">
        <v>237</v>
      </c>
      <c r="C18" s="6" t="s">
        <v>238</v>
      </c>
      <c r="D18" s="19" t="s">
        <v>126</v>
      </c>
      <c r="E18" s="6" t="s">
        <v>244</v>
      </c>
      <c r="F18" s="6" t="s">
        <v>69</v>
      </c>
    </row>
    <row r="19" customFormat="false" ht="75" hidden="false" customHeight="true" outlineLevel="0" collapsed="false">
      <c r="A19" s="6" t="s">
        <v>200</v>
      </c>
      <c r="B19" s="6" t="s">
        <v>201</v>
      </c>
      <c r="C19" s="6" t="s">
        <v>184</v>
      </c>
      <c r="D19" s="19" t="s">
        <v>126</v>
      </c>
      <c r="E19" s="6" t="s">
        <v>206</v>
      </c>
      <c r="F19" s="6" t="s">
        <v>69</v>
      </c>
    </row>
    <row r="22" customFormat="false" ht="39.75" hidden="false" customHeight="true" outlineLevel="0" collapsed="false">
      <c r="A22" s="18" t="s">
        <v>290</v>
      </c>
      <c r="B22" s="18"/>
      <c r="C22" s="18"/>
      <c r="D22" s="18"/>
      <c r="E22" s="18"/>
      <c r="F22" s="18"/>
    </row>
  </sheetData>
  <mergeCells count="3">
    <mergeCell ref="A1:F1"/>
    <mergeCell ref="A2:F2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20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0" t="s">
        <v>291</v>
      </c>
      <c r="B1" s="10"/>
      <c r="C1" s="10"/>
      <c r="D1" s="10"/>
    </row>
    <row r="2" customFormat="false" ht="30" hidden="false" customHeight="true" outlineLevel="0" collapsed="false">
      <c r="A2" s="18" t="s">
        <v>292</v>
      </c>
      <c r="B2" s="18"/>
      <c r="C2" s="18"/>
      <c r="D2" s="18"/>
    </row>
    <row r="4" customFormat="false" ht="15" hidden="false" customHeight="false" outlineLevel="0" collapsed="false">
      <c r="A4" s="5" t="s">
        <v>293</v>
      </c>
      <c r="B4" s="5" t="s">
        <v>294</v>
      </c>
      <c r="C4" s="5" t="s">
        <v>295</v>
      </c>
      <c r="D4" s="5" t="s">
        <v>296</v>
      </c>
    </row>
    <row r="5" customFormat="false" ht="42" hidden="false" customHeight="true" outlineLevel="0" collapsed="false">
      <c r="A5" s="6" t="n">
        <v>1</v>
      </c>
      <c r="B5" s="6" t="s">
        <v>297</v>
      </c>
      <c r="C5" s="6" t="s">
        <v>298</v>
      </c>
      <c r="D5" s="6" t="s">
        <v>299</v>
      </c>
    </row>
    <row r="6" customFormat="false" ht="42" hidden="false" customHeight="true" outlineLevel="0" collapsed="false">
      <c r="A6" s="6" t="n">
        <v>2</v>
      </c>
      <c r="B6" s="6" t="s">
        <v>300</v>
      </c>
      <c r="C6" s="6" t="s">
        <v>298</v>
      </c>
      <c r="D6" s="6" t="s">
        <v>301</v>
      </c>
    </row>
    <row r="7" customFormat="false" ht="42" hidden="false" customHeight="true" outlineLevel="0" collapsed="false">
      <c r="A7" s="6" t="n">
        <v>3</v>
      </c>
      <c r="B7" s="6" t="s">
        <v>302</v>
      </c>
      <c r="C7" s="6" t="s">
        <v>303</v>
      </c>
      <c r="D7" s="6" t="s">
        <v>304</v>
      </c>
    </row>
    <row r="8" customFormat="false" ht="42" hidden="false" customHeight="true" outlineLevel="0" collapsed="false">
      <c r="A8" s="6" t="n">
        <v>4</v>
      </c>
      <c r="B8" s="6" t="s">
        <v>305</v>
      </c>
      <c r="C8" s="6" t="s">
        <v>306</v>
      </c>
      <c r="D8" s="6" t="s">
        <v>307</v>
      </c>
    </row>
    <row r="9" customFormat="false" ht="42" hidden="false" customHeight="true" outlineLevel="0" collapsed="false">
      <c r="A9" s="6" t="n">
        <v>5</v>
      </c>
      <c r="B9" s="6" t="s">
        <v>308</v>
      </c>
      <c r="C9" s="6" t="s">
        <v>306</v>
      </c>
      <c r="D9" s="6" t="s">
        <v>309</v>
      </c>
    </row>
    <row r="10" customFormat="false" ht="42" hidden="false" customHeight="true" outlineLevel="0" collapsed="false">
      <c r="A10" s="6" t="n">
        <v>6</v>
      </c>
      <c r="B10" s="6" t="s">
        <v>310</v>
      </c>
      <c r="C10" s="6" t="s">
        <v>311</v>
      </c>
      <c r="D10" s="6" t="s">
        <v>312</v>
      </c>
    </row>
    <row r="11" customFormat="false" ht="42" hidden="false" customHeight="true" outlineLevel="0" collapsed="false">
      <c r="A11" s="6" t="n">
        <v>7</v>
      </c>
      <c r="B11" s="6" t="s">
        <v>313</v>
      </c>
      <c r="C11" s="6" t="s">
        <v>306</v>
      </c>
      <c r="D11" s="6" t="s">
        <v>314</v>
      </c>
    </row>
    <row r="12" customFormat="false" ht="42" hidden="false" customHeight="true" outlineLevel="0" collapsed="false">
      <c r="A12" s="6" t="n">
        <v>8</v>
      </c>
      <c r="B12" s="6" t="s">
        <v>315</v>
      </c>
      <c r="C12" s="6" t="s">
        <v>316</v>
      </c>
      <c r="D12" s="6" t="s">
        <v>317</v>
      </c>
    </row>
    <row r="13" customFormat="false" ht="42" hidden="false" customHeight="true" outlineLevel="0" collapsed="false">
      <c r="A13" s="6" t="n">
        <v>9</v>
      </c>
      <c r="B13" s="6" t="s">
        <v>318</v>
      </c>
      <c r="C13" s="6" t="s">
        <v>319</v>
      </c>
      <c r="D13" s="6" t="s">
        <v>320</v>
      </c>
    </row>
    <row r="14" customFormat="false" ht="42" hidden="false" customHeight="true" outlineLevel="0" collapsed="false">
      <c r="A14" s="6" t="n">
        <v>10</v>
      </c>
      <c r="B14" s="6" t="s">
        <v>321</v>
      </c>
      <c r="C14" s="6" t="s">
        <v>322</v>
      </c>
      <c r="D14" s="6" t="s">
        <v>323</v>
      </c>
    </row>
    <row r="15" customFormat="false" ht="42" hidden="false" customHeight="true" outlineLevel="0" collapsed="false">
      <c r="A15" s="6" t="n">
        <v>11</v>
      </c>
      <c r="B15" s="6" t="s">
        <v>324</v>
      </c>
      <c r="C15" s="6" t="s">
        <v>306</v>
      </c>
      <c r="D15" s="6" t="s">
        <v>325</v>
      </c>
    </row>
    <row r="16" customFormat="false" ht="42" hidden="false" customHeight="true" outlineLevel="0" collapsed="false">
      <c r="A16" s="6" t="n">
        <v>12</v>
      </c>
      <c r="B16" s="6" t="s">
        <v>326</v>
      </c>
      <c r="C16" s="6" t="s">
        <v>327</v>
      </c>
      <c r="D16" s="6" t="s">
        <v>328</v>
      </c>
    </row>
    <row r="17" customFormat="false" ht="42" hidden="false" customHeight="true" outlineLevel="0" collapsed="false">
      <c r="A17" s="6" t="n">
        <v>13</v>
      </c>
      <c r="B17" s="6" t="s">
        <v>329</v>
      </c>
      <c r="C17" s="6" t="s">
        <v>306</v>
      </c>
      <c r="D17" s="6" t="s">
        <v>330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331</v>
      </c>
    </row>
    <row r="2" customFormat="false" ht="559.5" hidden="false" customHeight="true" outlineLevel="0" collapsed="false">
      <c r="A2" s="4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2026-09-02T10:47:56Z</dcterms:created>
  <dc:creator>openpyxl</dc:creator>
  <dc:description/>
  <dc:language>en-US</dc:language>
  <cp:lastModifiedBy/>
  <dcterms:modified xsi:type="dcterms:W3CDTF">2026-09-02T10:47:57Z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